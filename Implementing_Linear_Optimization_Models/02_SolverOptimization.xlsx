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claughry\Downloads\"/>
    </mc:Choice>
  </mc:AlternateContent>
  <xr:revisionPtr revIDLastSave="0" documentId="13_ncr:1_{0944DD6B-43FD-4DCB-AFBA-7B92D682C5C1}" xr6:coauthVersionLast="47" xr6:coauthVersionMax="47" xr10:uidLastSave="{00000000-0000-0000-0000-000000000000}"/>
  <bookViews>
    <workbookView xWindow="-120" yWindow="-120" windowWidth="29040" windowHeight="15720" xr2:uid="{B58D8590-BCC0-4695-909F-BD0EE45E8E75}"/>
  </bookViews>
  <sheets>
    <sheet name="Sheet1" sheetId="1" r:id="rId1"/>
  </sheets>
  <definedNames>
    <definedName name="solver_adj" localSheetId="0" hidden="1">Sheet1!$B$2:$B$9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Sheet1!$B$16</definedName>
    <definedName name="solver_lhs10" localSheetId="0" hidden="1">Sheet1!$B$26</definedName>
    <definedName name="solver_lhs11" localSheetId="0" hidden="1">Sheet1!$B$27</definedName>
    <definedName name="solver_lhs12" localSheetId="0" hidden="1">Sheet1!$B$28</definedName>
    <definedName name="solver_lhs13" localSheetId="0" hidden="1">Sheet1!$B$29</definedName>
    <definedName name="solver_lhs14" localSheetId="0" hidden="1">Sheet1!$B$30</definedName>
    <definedName name="solver_lhs15" localSheetId="0" hidden="1">Sheet1!$B$31</definedName>
    <definedName name="solver_lhs16" localSheetId="0" hidden="1">Sheet1!$B$32</definedName>
    <definedName name="solver_lhs17" localSheetId="0" hidden="1">Sheet1!$B$33</definedName>
    <definedName name="solver_lhs18" localSheetId="0" hidden="1">Sheet1!$B$34</definedName>
    <definedName name="solver_lhs19" localSheetId="0" hidden="1">Sheet1!$B$35</definedName>
    <definedName name="solver_lhs2" localSheetId="0" hidden="1">Sheet1!$B$17</definedName>
    <definedName name="solver_lhs20" localSheetId="0" hidden="1">Sheet1!$B$36</definedName>
    <definedName name="solver_lhs21" localSheetId="0" hidden="1">Sheet1!$B$37</definedName>
    <definedName name="solver_lhs22" localSheetId="0" hidden="1">Sheet1!$B$37</definedName>
    <definedName name="solver_lhs23" localSheetId="0" hidden="1">Sheet1!$B$38</definedName>
    <definedName name="solver_lhs3" localSheetId="0" hidden="1">Sheet1!$B$18</definedName>
    <definedName name="solver_lhs4" localSheetId="0" hidden="1">Sheet1!$B$19</definedName>
    <definedName name="solver_lhs5" localSheetId="0" hidden="1">Sheet1!$B$20</definedName>
    <definedName name="solver_lhs6" localSheetId="0" hidden="1">Sheet1!$B$22</definedName>
    <definedName name="solver_lhs7" localSheetId="0" hidden="1">Sheet1!$B$23</definedName>
    <definedName name="solver_lhs8" localSheetId="0" hidden="1">Sheet1!$B$24</definedName>
    <definedName name="solver_lhs9" localSheetId="0" hidden="1">Sheet1!$B$25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21</definedName>
    <definedName name="solver_nwt" localSheetId="0" hidden="1">1</definedName>
    <definedName name="solver_opt" localSheetId="0" hidden="1">Sheet1!$B$13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10" localSheetId="0" hidden="1">3</definedName>
    <definedName name="solver_rel11" localSheetId="0" hidden="1">1</definedName>
    <definedName name="solver_rel12" localSheetId="0" hidden="1">3</definedName>
    <definedName name="solver_rel13" localSheetId="0" hidden="1">1</definedName>
    <definedName name="solver_rel14" localSheetId="0" hidden="1">3</definedName>
    <definedName name="solver_rel15" localSheetId="0" hidden="1">1</definedName>
    <definedName name="solver_rel16" localSheetId="0" hidden="1">3</definedName>
    <definedName name="solver_rel17" localSheetId="0" hidden="1">1</definedName>
    <definedName name="solver_rel18" localSheetId="0" hidden="1">3</definedName>
    <definedName name="solver_rel19" localSheetId="0" hidden="1">1</definedName>
    <definedName name="solver_rel2" localSheetId="0" hidden="1">3</definedName>
    <definedName name="solver_rel20" localSheetId="0" hidden="1">3</definedName>
    <definedName name="solver_rel21" localSheetId="0" hidden="1">1</definedName>
    <definedName name="solver_rel22" localSheetId="0" hidden="1">1</definedName>
    <definedName name="solver_rel23" localSheetId="0" hidden="1">1</definedName>
    <definedName name="solver_rel3" localSheetId="0" hidden="1">3</definedName>
    <definedName name="solver_rel4" localSheetId="0" hidden="1">1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hs1" localSheetId="0" hidden="1">Sheet1!$D$16</definedName>
    <definedName name="solver_rhs10" localSheetId="0" hidden="1">Sheet1!$D$26</definedName>
    <definedName name="solver_rhs11" localSheetId="0" hidden="1">Sheet1!$D$27</definedName>
    <definedName name="solver_rhs12" localSheetId="0" hidden="1">Sheet1!$D$28</definedName>
    <definedName name="solver_rhs13" localSheetId="0" hidden="1">Sheet1!$D$29</definedName>
    <definedName name="solver_rhs14" localSheetId="0" hidden="1">Sheet1!$D$30</definedName>
    <definedName name="solver_rhs15" localSheetId="0" hidden="1">Sheet1!$D$31</definedName>
    <definedName name="solver_rhs16" localSheetId="0" hidden="1">Sheet1!$D$32</definedName>
    <definedName name="solver_rhs17" localSheetId="0" hidden="1">Sheet1!$D$33</definedName>
    <definedName name="solver_rhs18" localSheetId="0" hidden="1">Sheet1!$D$34</definedName>
    <definedName name="solver_rhs19" localSheetId="0" hidden="1">Sheet1!$D$35</definedName>
    <definedName name="solver_rhs2" localSheetId="0" hidden="1">Sheet1!$D$17</definedName>
    <definedName name="solver_rhs20" localSheetId="0" hidden="1">Sheet1!$D$36</definedName>
    <definedName name="solver_rhs21" localSheetId="0" hidden="1">Sheet1!$D$37</definedName>
    <definedName name="solver_rhs22" localSheetId="0" hidden="1">Sheet1!$D$37</definedName>
    <definedName name="solver_rhs23" localSheetId="0" hidden="1">Sheet1!$D$38</definedName>
    <definedName name="solver_rhs3" localSheetId="0" hidden="1">Sheet1!$D$18</definedName>
    <definedName name="solver_rhs4" localSheetId="0" hidden="1">Sheet1!$D$19</definedName>
    <definedName name="solver_rhs5" localSheetId="0" hidden="1">Sheet1!$D$20</definedName>
    <definedName name="solver_rhs6" localSheetId="0" hidden="1">Sheet1!$D$22</definedName>
    <definedName name="solver_rhs7" localSheetId="0" hidden="1">Sheet1!$D$23</definedName>
    <definedName name="solver_rhs8" localSheetId="0" hidden="1">Sheet1!$D$24</definedName>
    <definedName name="solver_rhs9" localSheetId="0" hidden="1">Sheet1!$D$25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8" i="1"/>
  <c r="B17" i="1"/>
  <c r="B37" i="1"/>
  <c r="B35" i="1"/>
  <c r="B33" i="1"/>
  <c r="B31" i="1"/>
  <c r="B29" i="1"/>
  <c r="B27" i="1"/>
  <c r="B25" i="1"/>
  <c r="B23" i="1"/>
  <c r="B20" i="1"/>
  <c r="B19" i="1"/>
  <c r="B16" i="1"/>
  <c r="B36" i="1"/>
  <c r="B34" i="1"/>
  <c r="B32" i="1"/>
  <c r="B30" i="1"/>
  <c r="B28" i="1"/>
  <c r="B26" i="1"/>
  <c r="B24" i="1"/>
  <c r="B22" i="1"/>
</calcChain>
</file>

<file path=xl/sharedStrings.xml><?xml version="1.0" encoding="utf-8"?>
<sst xmlns="http://schemas.openxmlformats.org/spreadsheetml/2006/main" count="86" uniqueCount="64">
  <si>
    <t xml:space="preserve">Objective Function </t>
  </si>
  <si>
    <t xml:space="preserve">Constraints </t>
  </si>
  <si>
    <t>Left Side</t>
  </si>
  <si>
    <t>Inequality</t>
  </si>
  <si>
    <t>Right Side</t>
  </si>
  <si>
    <t>&lt;=</t>
  </si>
  <si>
    <t>=</t>
  </si>
  <si>
    <t>MTons</t>
  </si>
  <si>
    <t>UOM</t>
  </si>
  <si>
    <t>&gt;=</t>
  </si>
  <si>
    <t>Minimize  Cost</t>
  </si>
  <si>
    <t>How much coal should NBS contract for from each supplier in order to minimize the cost
of supply of coking coal?</t>
  </si>
  <si>
    <t>What will be NBS’s total cost of supply?</t>
  </si>
  <si>
    <t>What will be NBS’s average cost of supply?</t>
  </si>
  <si>
    <t>Rail Limit          x1+x3+x7+x8 &lt;= 650</t>
  </si>
  <si>
    <t>Truck Limit       x2+x4+x5+x6 &lt;= 720</t>
  </si>
  <si>
    <t>x1&gt;=0</t>
  </si>
  <si>
    <t>x2&gt;=0</t>
  </si>
  <si>
    <t>x3&gt;=0</t>
  </si>
  <si>
    <t>x4&gt;=0</t>
  </si>
  <si>
    <t>x5&gt;=0</t>
  </si>
  <si>
    <t>x6&gt;=0</t>
  </si>
  <si>
    <t>x7&gt;=0</t>
  </si>
  <si>
    <t>x8&gt;=0</t>
  </si>
  <si>
    <t>Decision Variables</t>
  </si>
  <si>
    <t>x1</t>
  </si>
  <si>
    <t>x2</t>
  </si>
  <si>
    <t>x3</t>
  </si>
  <si>
    <t>x4</t>
  </si>
  <si>
    <t>x5</t>
  </si>
  <si>
    <t>x6</t>
  </si>
  <si>
    <t>x7</t>
  </si>
  <si>
    <t>x8</t>
  </si>
  <si>
    <t>Notes</t>
  </si>
  <si>
    <t>x1&lt;=300000</t>
  </si>
  <si>
    <t>x2&lt;=600000</t>
  </si>
  <si>
    <t>x3&lt;=510000</t>
  </si>
  <si>
    <t>x4&lt;=655000</t>
  </si>
  <si>
    <t>x5&lt;=575000</t>
  </si>
  <si>
    <t>x6&lt;=680000</t>
  </si>
  <si>
    <t>x7&lt;=450000</t>
  </si>
  <si>
    <t>x8&lt;=490000</t>
  </si>
  <si>
    <t>Ashley</t>
  </si>
  <si>
    <t>Bedford</t>
  </si>
  <si>
    <t>Consol</t>
  </si>
  <si>
    <t>Dunby</t>
  </si>
  <si>
    <t>Earlam</t>
  </si>
  <si>
    <t>Florence</t>
  </si>
  <si>
    <t>Gaston</t>
  </si>
  <si>
    <t>Hopt</t>
  </si>
  <si>
    <t>z=(49.5*x1+50*x2+61*x3+63.5*x4+66.5*x5+71*x6+72.5*x7+80*x8)*1000</t>
  </si>
  <si>
    <t>Total Cost</t>
  </si>
  <si>
    <t>MTons to Purchase</t>
  </si>
  <si>
    <t>Total MTons     x1+x2+x3+x4+x5+x6+x7+x8 &lt;=1225</t>
  </si>
  <si>
    <t>Used total MTon to determine constraint</t>
  </si>
  <si>
    <t>Union                x1+x2+x4+x6&gt;=0.5*1225</t>
  </si>
  <si>
    <t>Only included union mines</t>
  </si>
  <si>
    <t>Only included rail mines</t>
  </si>
  <si>
    <t>Only included truck mines</t>
  </si>
  <si>
    <t>Volatility           (15*x1+16*x2+18*x3+20*x4+21*x5+22*x6+23*x7+25*x8) &gt;= 1225*19</t>
  </si>
  <si>
    <t>Coal Supplier</t>
  </si>
  <si>
    <t>NBS should contract 55 Mtons from Ashley, 600 Mtons from Bedford, 20 Mtons from Dunby, 100 Mtons from Earlam, and 450 Mtons from Gaston to minimze overall costs.</t>
  </si>
  <si>
    <t>The total cost of supply will be $73,267,500.</t>
  </si>
  <si>
    <t>$73267500/1225 = $59810.2. So, the average cost of supply is $59.81 per 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</si>
</sst>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0" borderId="0" xfId="0" applyFill="1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Fill="1" applyBorder="1"/>
    <xf numFmtId="0" fontId="1" fillId="0" borderId="10" xfId="0" applyFont="1" applyBorder="1"/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AF59-6026-4DA4-8D32-5DC54BBFE731}">
  <dimension ref="A1:F44"/>
  <sheetViews>
    <sheetView tabSelected="1" topLeftCell="A21" zoomScale="130" zoomScaleNormal="130" workbookViewId="0">
      <selection activeCell="A45" sqref="A45"/>
    </sheetView>
  </sheetViews>
  <sheetFormatPr defaultRowHeight="15" x14ac:dyDescent="0.25"/>
  <cols>
    <col min="1" max="1" width="74.28515625" customWidth="1"/>
    <col min="2" max="2" width="18.140625" bestFit="1" customWidth="1"/>
    <col min="3" max="5" width="13.5703125" customWidth="1"/>
    <col min="6" max="6" width="44.85546875" bestFit="1" customWidth="1"/>
  </cols>
  <sheetData>
    <row r="1" spans="1:6" x14ac:dyDescent="0.25">
      <c r="A1" s="1" t="s">
        <v>24</v>
      </c>
      <c r="B1" s="1" t="s">
        <v>52</v>
      </c>
      <c r="C1" s="1" t="s">
        <v>60</v>
      </c>
    </row>
    <row r="2" spans="1:6" x14ac:dyDescent="0.25">
      <c r="A2" t="s">
        <v>25</v>
      </c>
      <c r="B2">
        <v>55.000000000000014</v>
      </c>
      <c r="C2" s="6" t="s">
        <v>42</v>
      </c>
    </row>
    <row r="3" spans="1:6" x14ac:dyDescent="0.25">
      <c r="A3" t="s">
        <v>26</v>
      </c>
      <c r="B3">
        <v>600</v>
      </c>
      <c r="C3" s="6" t="s">
        <v>43</v>
      </c>
    </row>
    <row r="4" spans="1:6" x14ac:dyDescent="0.25">
      <c r="A4" t="s">
        <v>27</v>
      </c>
      <c r="B4">
        <v>0</v>
      </c>
      <c r="C4" s="6" t="s">
        <v>44</v>
      </c>
    </row>
    <row r="5" spans="1:6" x14ac:dyDescent="0.25">
      <c r="A5" t="s">
        <v>28</v>
      </c>
      <c r="B5">
        <v>19.999999999999122</v>
      </c>
      <c r="C5" s="6" t="s">
        <v>45</v>
      </c>
    </row>
    <row r="6" spans="1:6" x14ac:dyDescent="0.25">
      <c r="A6" t="s">
        <v>29</v>
      </c>
      <c r="B6">
        <v>100.00000000000088</v>
      </c>
      <c r="C6" s="6" t="s">
        <v>46</v>
      </c>
    </row>
    <row r="7" spans="1:6" x14ac:dyDescent="0.25">
      <c r="A7" t="s">
        <v>30</v>
      </c>
      <c r="B7">
        <v>0</v>
      </c>
      <c r="C7" s="6" t="s">
        <v>47</v>
      </c>
    </row>
    <row r="8" spans="1:6" x14ac:dyDescent="0.25">
      <c r="A8" t="s">
        <v>31</v>
      </c>
      <c r="B8">
        <v>450</v>
      </c>
      <c r="C8" s="6" t="s">
        <v>48</v>
      </c>
    </row>
    <row r="9" spans="1:6" x14ac:dyDescent="0.25">
      <c r="A9" t="s">
        <v>32</v>
      </c>
      <c r="B9">
        <v>0</v>
      </c>
      <c r="C9" s="6" t="s">
        <v>49</v>
      </c>
    </row>
    <row r="11" spans="1:6" x14ac:dyDescent="0.25">
      <c r="A11" s="1" t="s">
        <v>0</v>
      </c>
    </row>
    <row r="12" spans="1:6" ht="15.75" thickBot="1" x14ac:dyDescent="0.3">
      <c r="A12" s="3" t="s">
        <v>10</v>
      </c>
    </row>
    <row r="13" spans="1:6" ht="15.75" thickBot="1" x14ac:dyDescent="0.3">
      <c r="A13" t="s">
        <v>50</v>
      </c>
      <c r="B13" s="20">
        <f>(49.5*B2*1000)+(50*B3*1000)+(61*B4*1000)+(63.5*B5*1000)+(66.5*B6*1000)+(71*B7*1000)+(72.5*B8*1000)+(80*B9*1000)</f>
        <v>73267500</v>
      </c>
      <c r="C13" s="21" t="s">
        <v>51</v>
      </c>
    </row>
    <row r="15" spans="1:6" x14ac:dyDescent="0.25">
      <c r="A15" s="1" t="s">
        <v>1</v>
      </c>
      <c r="B15" s="1" t="s">
        <v>2</v>
      </c>
      <c r="C15" s="1" t="s">
        <v>3</v>
      </c>
      <c r="D15" s="1" t="s">
        <v>4</v>
      </c>
      <c r="E15" s="5" t="s">
        <v>8</v>
      </c>
      <c r="F15" s="5" t="s">
        <v>33</v>
      </c>
    </row>
    <row r="16" spans="1:6" x14ac:dyDescent="0.25">
      <c r="A16" s="2" t="s">
        <v>53</v>
      </c>
      <c r="B16" s="2">
        <f>B2+B3+B4+B5+B6+B7+B8+B9</f>
        <v>1225</v>
      </c>
      <c r="C16" s="7" t="s">
        <v>6</v>
      </c>
      <c r="D16" s="2">
        <v>1225</v>
      </c>
      <c r="E16" s="4" t="s">
        <v>7</v>
      </c>
      <c r="F16" s="4"/>
    </row>
    <row r="17" spans="1:6" x14ac:dyDescent="0.25">
      <c r="A17" t="s">
        <v>59</v>
      </c>
      <c r="B17">
        <f>(15*B2)+(16*B3)+(18*B4)+(20*B5)+(21*B6)+(22*B7)+(23*B8)+(25*B9)</f>
        <v>23275</v>
      </c>
      <c r="C17" t="s">
        <v>9</v>
      </c>
      <c r="D17">
        <v>23275</v>
      </c>
      <c r="E17" s="4" t="s">
        <v>7</v>
      </c>
      <c r="F17" s="4" t="s">
        <v>54</v>
      </c>
    </row>
    <row r="18" spans="1:6" x14ac:dyDescent="0.25">
      <c r="A18" t="s">
        <v>55</v>
      </c>
      <c r="B18">
        <f>B2+B3+B5+B7</f>
        <v>674.99999999999909</v>
      </c>
      <c r="C18" t="s">
        <v>9</v>
      </c>
      <c r="D18">
        <v>612.5</v>
      </c>
      <c r="E18" s="4" t="s">
        <v>7</v>
      </c>
      <c r="F18" s="4" t="s">
        <v>56</v>
      </c>
    </row>
    <row r="19" spans="1:6" x14ac:dyDescent="0.25">
      <c r="A19" t="s">
        <v>14</v>
      </c>
      <c r="B19">
        <f>B2+B4+B8+B9</f>
        <v>505</v>
      </c>
      <c r="C19" t="s">
        <v>5</v>
      </c>
      <c r="D19">
        <v>650</v>
      </c>
      <c r="E19" s="4" t="s">
        <v>7</v>
      </c>
      <c r="F19" s="4" t="s">
        <v>57</v>
      </c>
    </row>
    <row r="20" spans="1:6" x14ac:dyDescent="0.25">
      <c r="A20" t="s">
        <v>15</v>
      </c>
      <c r="B20">
        <f>B3+B5+B6+B7</f>
        <v>720</v>
      </c>
      <c r="C20" t="s">
        <v>5</v>
      </c>
      <c r="D20">
        <v>720</v>
      </c>
      <c r="E20" s="4" t="s">
        <v>7</v>
      </c>
      <c r="F20" s="4" t="s">
        <v>58</v>
      </c>
    </row>
    <row r="21" spans="1:6" x14ac:dyDescent="0.25">
      <c r="E21" s="4"/>
      <c r="F21" s="4"/>
    </row>
    <row r="22" spans="1:6" x14ac:dyDescent="0.25">
      <c r="A22" t="s">
        <v>16</v>
      </c>
      <c r="B22">
        <f>B2</f>
        <v>55.000000000000014</v>
      </c>
      <c r="C22" t="s">
        <v>9</v>
      </c>
      <c r="D22">
        <v>0</v>
      </c>
      <c r="E22" s="4"/>
      <c r="F22" s="4"/>
    </row>
    <row r="23" spans="1:6" x14ac:dyDescent="0.25">
      <c r="A23" t="s">
        <v>34</v>
      </c>
      <c r="B23">
        <f>B2</f>
        <v>55.000000000000014</v>
      </c>
      <c r="C23" t="s">
        <v>5</v>
      </c>
      <c r="D23">
        <v>300</v>
      </c>
      <c r="E23" s="4"/>
      <c r="F23" s="4"/>
    </row>
    <row r="24" spans="1:6" x14ac:dyDescent="0.25">
      <c r="A24" t="s">
        <v>17</v>
      </c>
      <c r="B24">
        <f>B3</f>
        <v>600</v>
      </c>
      <c r="C24" t="s">
        <v>9</v>
      </c>
      <c r="D24">
        <v>0</v>
      </c>
      <c r="E24" s="4"/>
      <c r="F24" s="4"/>
    </row>
    <row r="25" spans="1:6" x14ac:dyDescent="0.25">
      <c r="A25" t="s">
        <v>35</v>
      </c>
      <c r="B25">
        <f>B3</f>
        <v>600</v>
      </c>
      <c r="C25" t="s">
        <v>5</v>
      </c>
      <c r="D25">
        <v>600</v>
      </c>
      <c r="E25" s="4"/>
      <c r="F25" s="4"/>
    </row>
    <row r="26" spans="1:6" x14ac:dyDescent="0.25">
      <c r="A26" t="s">
        <v>18</v>
      </c>
      <c r="B26">
        <f>B4</f>
        <v>0</v>
      </c>
      <c r="C26" t="s">
        <v>9</v>
      </c>
      <c r="D26">
        <v>0</v>
      </c>
      <c r="E26" s="4"/>
      <c r="F26" s="4"/>
    </row>
    <row r="27" spans="1:6" x14ac:dyDescent="0.25">
      <c r="A27" t="s">
        <v>36</v>
      </c>
      <c r="B27">
        <f>B4</f>
        <v>0</v>
      </c>
      <c r="C27" t="s">
        <v>5</v>
      </c>
      <c r="D27">
        <v>510</v>
      </c>
      <c r="E27" s="4"/>
      <c r="F27" s="4"/>
    </row>
    <row r="28" spans="1:6" x14ac:dyDescent="0.25">
      <c r="A28" t="s">
        <v>19</v>
      </c>
      <c r="B28">
        <f>B5</f>
        <v>19.999999999999122</v>
      </c>
      <c r="C28" t="s">
        <v>9</v>
      </c>
      <c r="D28">
        <v>0</v>
      </c>
      <c r="E28" s="4"/>
      <c r="F28" s="4"/>
    </row>
    <row r="29" spans="1:6" x14ac:dyDescent="0.25">
      <c r="A29" t="s">
        <v>37</v>
      </c>
      <c r="B29">
        <f>B5</f>
        <v>19.999999999999122</v>
      </c>
      <c r="C29" t="s">
        <v>5</v>
      </c>
      <c r="D29">
        <v>655</v>
      </c>
      <c r="E29" s="4"/>
      <c r="F29" s="4"/>
    </row>
    <row r="30" spans="1:6" x14ac:dyDescent="0.25">
      <c r="A30" t="s">
        <v>20</v>
      </c>
      <c r="B30">
        <f>B6</f>
        <v>100.00000000000088</v>
      </c>
      <c r="C30" t="s">
        <v>9</v>
      </c>
      <c r="D30">
        <v>0</v>
      </c>
      <c r="E30" s="4"/>
      <c r="F30" s="4"/>
    </row>
    <row r="31" spans="1:6" x14ac:dyDescent="0.25">
      <c r="A31" t="s">
        <v>38</v>
      </c>
      <c r="B31">
        <f>B6</f>
        <v>100.00000000000088</v>
      </c>
      <c r="C31" t="s">
        <v>5</v>
      </c>
      <c r="D31">
        <v>575</v>
      </c>
      <c r="E31" s="4"/>
      <c r="F31" s="4"/>
    </row>
    <row r="32" spans="1:6" x14ac:dyDescent="0.25">
      <c r="A32" t="s">
        <v>21</v>
      </c>
      <c r="B32">
        <f>B7</f>
        <v>0</v>
      </c>
      <c r="C32" t="s">
        <v>9</v>
      </c>
      <c r="D32">
        <v>0</v>
      </c>
      <c r="E32" s="4"/>
      <c r="F32" s="4"/>
    </row>
    <row r="33" spans="1:6" x14ac:dyDescent="0.25">
      <c r="A33" t="s">
        <v>39</v>
      </c>
      <c r="B33">
        <f>B7</f>
        <v>0</v>
      </c>
      <c r="C33" t="s">
        <v>5</v>
      </c>
      <c r="D33">
        <v>680</v>
      </c>
      <c r="E33" s="4"/>
      <c r="F33" s="4"/>
    </row>
    <row r="34" spans="1:6" x14ac:dyDescent="0.25">
      <c r="A34" t="s">
        <v>22</v>
      </c>
      <c r="B34">
        <f>B8</f>
        <v>450</v>
      </c>
      <c r="C34" t="s">
        <v>9</v>
      </c>
      <c r="D34">
        <v>0</v>
      </c>
      <c r="E34" s="4"/>
      <c r="F34" s="4"/>
    </row>
    <row r="35" spans="1:6" x14ac:dyDescent="0.25">
      <c r="A35" t="s">
        <v>40</v>
      </c>
      <c r="B35">
        <f>B8</f>
        <v>450</v>
      </c>
      <c r="C35" t="s">
        <v>5</v>
      </c>
      <c r="D35">
        <v>450</v>
      </c>
      <c r="E35" s="4"/>
      <c r="F35" s="4"/>
    </row>
    <row r="36" spans="1:6" x14ac:dyDescent="0.25">
      <c r="A36" t="s">
        <v>23</v>
      </c>
      <c r="B36">
        <f>B9</f>
        <v>0</v>
      </c>
      <c r="C36" t="s">
        <v>9</v>
      </c>
      <c r="D36">
        <v>0</v>
      </c>
      <c r="E36" s="4"/>
      <c r="F36" s="4"/>
    </row>
    <row r="37" spans="1:6" x14ac:dyDescent="0.25">
      <c r="A37" t="s">
        <v>41</v>
      </c>
      <c r="B37">
        <f>B9</f>
        <v>0</v>
      </c>
      <c r="C37" t="s">
        <v>5</v>
      </c>
      <c r="D37">
        <v>490</v>
      </c>
      <c r="E37" s="4"/>
      <c r="F37" s="4"/>
    </row>
    <row r="38" spans="1:6" ht="15.75" thickBot="1" x14ac:dyDescent="0.3"/>
    <row r="39" spans="1:6" ht="15" customHeight="1" x14ac:dyDescent="0.25">
      <c r="A39" s="8" t="s">
        <v>11</v>
      </c>
      <c r="B39" s="9"/>
      <c r="C39" s="9"/>
      <c r="D39" s="9"/>
      <c r="E39" s="9"/>
      <c r="F39" s="10"/>
    </row>
    <row r="40" spans="1:6" ht="15" customHeight="1" x14ac:dyDescent="0.25">
      <c r="A40" s="22" t="s">
        <v>61</v>
      </c>
      <c r="B40" s="23"/>
      <c r="C40" s="23"/>
      <c r="D40" s="23"/>
      <c r="E40" s="23"/>
      <c r="F40" s="24"/>
    </row>
    <row r="41" spans="1:6" x14ac:dyDescent="0.25">
      <c r="A41" s="14" t="s">
        <v>12</v>
      </c>
      <c r="B41" s="15"/>
      <c r="C41" s="15"/>
      <c r="D41" s="15"/>
      <c r="E41" s="15"/>
      <c r="F41" s="16"/>
    </row>
    <row r="42" spans="1:6" x14ac:dyDescent="0.25">
      <c r="A42" s="11" t="s">
        <v>62</v>
      </c>
      <c r="B42" s="12"/>
      <c r="C42" s="12"/>
      <c r="D42" s="12"/>
      <c r="E42" s="12"/>
      <c r="F42" s="13"/>
    </row>
    <row r="43" spans="1:6" x14ac:dyDescent="0.25">
      <c r="A43" s="14" t="s">
        <v>13</v>
      </c>
      <c r="B43" s="15"/>
      <c r="C43" s="15"/>
      <c r="D43" s="15"/>
      <c r="E43" s="15"/>
      <c r="F43" s="16"/>
    </row>
    <row r="44" spans="1:6" ht="15.75" thickBot="1" x14ac:dyDescent="0.3">
      <c r="A44" s="17" t="s">
        <v>63</v>
      </c>
      <c r="B44" s="18"/>
      <c r="C44" s="18"/>
      <c r="D44" s="18"/>
      <c r="E44" s="18"/>
      <c r="F44" s="19"/>
    </row>
  </sheetData>
  <mergeCells count="6">
    <mergeCell ref="A41:F41"/>
    <mergeCell ref="A43:F43"/>
    <mergeCell ref="A40:F40"/>
    <mergeCell ref="A42:F42"/>
    <mergeCell ref="A44:F44"/>
    <mergeCell ref="A39:F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McLaughry</dc:creator>
  <cp:lastModifiedBy>Grace McLaughry</cp:lastModifiedBy>
  <dcterms:created xsi:type="dcterms:W3CDTF">2025-11-20T03:28:16Z</dcterms:created>
  <dcterms:modified xsi:type="dcterms:W3CDTF">2025-11-20T16:27:09Z</dcterms:modified>
</cp:coreProperties>
</file>