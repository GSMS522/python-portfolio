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mclaughry\Downloads\"/>
    </mc:Choice>
  </mc:AlternateContent>
  <xr:revisionPtr revIDLastSave="0" documentId="13_ncr:1_{5569B1BA-FD8B-4431-AC99-3B3636E6D3D7}" xr6:coauthVersionLast="47" xr6:coauthVersionMax="47" xr10:uidLastSave="{00000000-0000-0000-0000-000000000000}"/>
  <bookViews>
    <workbookView xWindow="14895" yWindow="-16440" windowWidth="29040" windowHeight="15720" tabRatio="813" xr2:uid="{44F29050-102D-4885-A23E-6C005A18DBCB}"/>
  </bookViews>
  <sheets>
    <sheet name="Assignment 12.1-Student" sheetId="12" r:id="rId1"/>
  </sheets>
  <definedNames>
    <definedName name="solver_adj" localSheetId="0" hidden="1">'Assignment 12.1-Student'!$D$2:$D$13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'Assignment 12.1-Student'!$B$28</definedName>
    <definedName name="solver_lhs10" localSheetId="0" hidden="1">'Assignment 12.1-Student'!$D$2</definedName>
    <definedName name="solver_lhs11" localSheetId="0" hidden="1">'Assignment 12.1-Student'!$D$3</definedName>
    <definedName name="solver_lhs12" localSheetId="0" hidden="1">'Assignment 12.1-Student'!$D$4</definedName>
    <definedName name="solver_lhs13" localSheetId="0" hidden="1">'Assignment 12.1-Student'!$D$5</definedName>
    <definedName name="solver_lhs14" localSheetId="0" hidden="1">'Assignment 12.1-Student'!$D$6</definedName>
    <definedName name="solver_lhs15" localSheetId="0" hidden="1">'Assignment 12.1-Student'!$D$7</definedName>
    <definedName name="solver_lhs16" localSheetId="0" hidden="1">'Assignment 12.1-Student'!$D$8</definedName>
    <definedName name="solver_lhs17" localSheetId="0" hidden="1">'Assignment 12.1-Student'!$D$9</definedName>
    <definedName name="solver_lhs2" localSheetId="0" hidden="1">'Assignment 12.1-Student'!$B$29</definedName>
    <definedName name="solver_lhs3" localSheetId="0" hidden="1">'Assignment 12.1-Student'!$B$34</definedName>
    <definedName name="solver_lhs4" localSheetId="0" hidden="1">'Assignment 12.1-Student'!$B$35</definedName>
    <definedName name="solver_lhs5" localSheetId="0" hidden="1">'Assignment 12.1-Student'!$B$36</definedName>
    <definedName name="solver_lhs6" localSheetId="0" hidden="1">'Assignment 12.1-Student'!$D$10</definedName>
    <definedName name="solver_lhs7" localSheetId="0" hidden="1">'Assignment 12.1-Student'!$D$11</definedName>
    <definedName name="solver_lhs8" localSheetId="0" hidden="1">'Assignment 12.1-Student'!$D$12</definedName>
    <definedName name="solver_lhs9" localSheetId="0" hidden="1">'Assignment 12.1-Student'!$D$13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17</definedName>
    <definedName name="solver_nwt" localSheetId="0" hidden="1">1</definedName>
    <definedName name="solver_opt" localSheetId="0" hidden="1">'Assignment 12.1-Student'!$B$24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10" localSheetId="0" hidden="1">3</definedName>
    <definedName name="solver_rel11" localSheetId="0" hidden="1">3</definedName>
    <definedName name="solver_rel12" localSheetId="0" hidden="1">3</definedName>
    <definedName name="solver_rel13" localSheetId="0" hidden="1">3</definedName>
    <definedName name="solver_rel14" localSheetId="0" hidden="1">3</definedName>
    <definedName name="solver_rel15" localSheetId="0" hidden="1">3</definedName>
    <definedName name="solver_rel16" localSheetId="0" hidden="1">3</definedName>
    <definedName name="solver_rel17" localSheetId="0" hidden="1">3</definedName>
    <definedName name="solver_rel2" localSheetId="0" hidden="1">1</definedName>
    <definedName name="solver_rel3" localSheetId="0" hidden="1">1</definedName>
    <definedName name="solver_rel4" localSheetId="0" hidden="1">1</definedName>
    <definedName name="solver_rel5" localSheetId="0" hidden="1">1</definedName>
    <definedName name="solver_rel6" localSheetId="0" hidden="1">3</definedName>
    <definedName name="solver_rel7" localSheetId="0" hidden="1">3</definedName>
    <definedName name="solver_rel8" localSheetId="0" hidden="1">3</definedName>
    <definedName name="solver_rel9" localSheetId="0" hidden="1">3</definedName>
    <definedName name="solver_rhs1" localSheetId="0" hidden="1">'Assignment 12.1-Student'!$D$28</definedName>
    <definedName name="solver_rhs10" localSheetId="0" hidden="1">0</definedName>
    <definedName name="solver_rhs11" localSheetId="0" hidden="1">0</definedName>
    <definedName name="solver_rhs12" localSheetId="0" hidden="1">0</definedName>
    <definedName name="solver_rhs13" localSheetId="0" hidden="1">0</definedName>
    <definedName name="solver_rhs14" localSheetId="0" hidden="1">0</definedName>
    <definedName name="solver_rhs15" localSheetId="0" hidden="1">0</definedName>
    <definedName name="solver_rhs16" localSheetId="0" hidden="1">0</definedName>
    <definedName name="solver_rhs17" localSheetId="0" hidden="1">0</definedName>
    <definedName name="solver_rhs2" localSheetId="0" hidden="1">'Assignment 12.1-Student'!$D$29</definedName>
    <definedName name="solver_rhs3" localSheetId="0" hidden="1">'Assignment 12.1-Student'!$D$34</definedName>
    <definedName name="solver_rhs4" localSheetId="0" hidden="1">'Assignment 12.1-Student'!$D$35</definedName>
    <definedName name="solver_rhs5" localSheetId="0" hidden="1">'Assignment 12.1-Student'!$D$36</definedName>
    <definedName name="solver_rhs6" localSheetId="0" hidden="1">0</definedName>
    <definedName name="solver_rhs7" localSheetId="0" hidden="1">0</definedName>
    <definedName name="solver_rhs8" localSheetId="0" hidden="1">0</definedName>
    <definedName name="solver_rhs9" localSheetId="0" hidden="1">0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4" i="12" l="1"/>
  <c r="B24" i="12"/>
  <c r="B25" i="12"/>
  <c r="B29" i="12"/>
  <c r="B28" i="12"/>
  <c r="B36" i="12"/>
  <c r="B35" i="12"/>
  <c r="B34" i="12"/>
  <c r="D28" i="12"/>
</calcChain>
</file>

<file path=xl/sharedStrings.xml><?xml version="1.0" encoding="utf-8"?>
<sst xmlns="http://schemas.openxmlformats.org/spreadsheetml/2006/main" count="84" uniqueCount="48">
  <si>
    <t>Variables
Slate                                                                 Revenue    Value</t>
  </si>
  <si>
    <t>Price Per Click</t>
  </si>
  <si>
    <t>{Burger King}</t>
  </si>
  <si>
    <r>
      <t>x</t>
    </r>
    <r>
      <rPr>
        <b/>
        <vertAlign val="subscript"/>
        <sz val="12"/>
        <color rgb="FF000000"/>
        <rFont val="Times New Roman"/>
        <family val="1"/>
      </rPr>
      <t>1,1</t>
    </r>
  </si>
  <si>
    <t>“Burger and Fries”</t>
  </si>
  <si>
    <t>Bidder</t>
  </si>
  <si>
    <t>“Fast food”</t>
  </si>
  <si>
    <t>“Cheap lunch”</t>
  </si>
  <si>
    <t>Budget</t>
  </si>
  <si>
    <t>{Wendy's}</t>
  </si>
  <si>
    <r>
      <t>x</t>
    </r>
    <r>
      <rPr>
        <b/>
        <vertAlign val="subscript"/>
        <sz val="12"/>
        <color rgb="FF000000"/>
        <rFont val="Times New Roman"/>
        <family val="1"/>
      </rPr>
      <t>2,1</t>
    </r>
  </si>
  <si>
    <t>{Burger King, Wendy's}</t>
  </si>
  <si>
    <r>
      <t>x</t>
    </r>
    <r>
      <rPr>
        <b/>
        <vertAlign val="subscript"/>
        <sz val="12"/>
        <color rgb="FF000000"/>
        <rFont val="Times New Roman"/>
        <family val="1"/>
      </rPr>
      <t>3,1</t>
    </r>
  </si>
  <si>
    <t>{Wendy's, Burger King}</t>
  </si>
  <si>
    <r>
      <t>x</t>
    </r>
    <r>
      <rPr>
        <b/>
        <vertAlign val="subscript"/>
        <sz val="12"/>
        <color rgb="FF000000"/>
        <rFont val="Times New Roman"/>
        <family val="1"/>
      </rPr>
      <t>4,1</t>
    </r>
  </si>
  <si>
    <r>
      <t>x</t>
    </r>
    <r>
      <rPr>
        <b/>
        <vertAlign val="subscript"/>
        <sz val="12"/>
        <color rgb="FF000000"/>
        <rFont val="Times New Roman"/>
        <family val="1"/>
      </rPr>
      <t>1,2</t>
    </r>
  </si>
  <si>
    <r>
      <t>x</t>
    </r>
    <r>
      <rPr>
        <b/>
        <vertAlign val="subscript"/>
        <sz val="12"/>
        <color rgb="FF000000"/>
        <rFont val="Times New Roman"/>
        <family val="1"/>
      </rPr>
      <t>2,2</t>
    </r>
  </si>
  <si>
    <r>
      <t>x</t>
    </r>
    <r>
      <rPr>
        <b/>
        <vertAlign val="subscript"/>
        <sz val="12"/>
        <color rgb="FF000000"/>
        <rFont val="Times New Roman"/>
        <family val="1"/>
      </rPr>
      <t>3,2</t>
    </r>
  </si>
  <si>
    <r>
      <t>x</t>
    </r>
    <r>
      <rPr>
        <b/>
        <vertAlign val="subscript"/>
        <sz val="12"/>
        <color rgb="FF000000"/>
        <rFont val="Times New Roman"/>
        <family val="1"/>
      </rPr>
      <t>4,2</t>
    </r>
  </si>
  <si>
    <t>Inputs: Predicted Click-Thru-Rates (CTR)</t>
  </si>
  <si>
    <r>
      <t>x</t>
    </r>
    <r>
      <rPr>
        <b/>
        <vertAlign val="subscript"/>
        <sz val="12"/>
        <color rgb="FF000000"/>
        <rFont val="Times New Roman"/>
        <family val="1"/>
      </rPr>
      <t>1,3</t>
    </r>
  </si>
  <si>
    <r>
      <t>x</t>
    </r>
    <r>
      <rPr>
        <b/>
        <vertAlign val="subscript"/>
        <sz val="12"/>
        <color rgb="FF000000"/>
        <rFont val="Times New Roman"/>
        <family val="1"/>
      </rPr>
      <t>2,3</t>
    </r>
  </si>
  <si>
    <t>Chain</t>
  </si>
  <si>
    <t>Ad Position</t>
  </si>
  <si>
    <r>
      <t>x</t>
    </r>
    <r>
      <rPr>
        <b/>
        <vertAlign val="subscript"/>
        <sz val="12"/>
        <color rgb="FF000000"/>
        <rFont val="Times New Roman"/>
        <family val="1"/>
      </rPr>
      <t>3,3</t>
    </r>
  </si>
  <si>
    <r>
      <t>x</t>
    </r>
    <r>
      <rPr>
        <b/>
        <vertAlign val="subscript"/>
        <sz val="12"/>
        <color rgb="FF000000"/>
        <rFont val="Times New Roman"/>
        <family val="1"/>
      </rPr>
      <t>4,3</t>
    </r>
  </si>
  <si>
    <t>Objective</t>
  </si>
  <si>
    <t>Maximize</t>
  </si>
  <si>
    <t>Budget Constraints</t>
  </si>
  <si>
    <t>inequality</t>
  </si>
  <si>
    <t>Burger King budget:</t>
  </si>
  <si>
    <t>≤</t>
  </si>
  <si>
    <t>Wendy's budget:</t>
  </si>
  <si>
    <t>Query Constraints</t>
  </si>
  <si>
    <t>1 -Burger and Fries</t>
  </si>
  <si>
    <t>queries per day</t>
  </si>
  <si>
    <t>2 -Fast food</t>
  </si>
  <si>
    <t>3 -Cheap lunch</t>
  </si>
  <si>
    <t>SOLUTION</t>
  </si>
  <si>
    <t>Maximum  Revenue and Optimal Slate / Value combinations</t>
  </si>
  <si>
    <t>z=0*x1,1+0.98*x2,1+0.69*x3,1+0.98*x4,1+0.81*x1,2+0.08*x2,2+0.86*x3,2+0.59*x4,2+0*x1,3+1.29*x2,3+0.81*x3,3+1.29*x4,3</t>
  </si>
  <si>
    <t>Bugers and Fries</t>
  </si>
  <si>
    <t>Queries</t>
  </si>
  <si>
    <t>Optimal Slate / Value</t>
  </si>
  <si>
    <t xml:space="preserve">Maximized Revenue </t>
  </si>
  <si>
    <t>Fast Food</t>
  </si>
  <si>
    <t>Cheap Lunch</t>
  </si>
  <si>
    <t>Search Query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</si>
</sst>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164" formatCode="0.000"/>
  </numFmts>
  <fonts count="17" x14ac:knownFonts="1">
    <font>
      <sz val="11"/>
      <color theme="1"/>
      <name val="Calibri"/>
      <family val="2"/>
      <scheme val="minor"/>
    </font>
    <font>
      <b/>
      <sz val="16"/>
      <color rgb="FFFFFFFF"/>
      <name val="Garamond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rgb="FFFFFFFF"/>
      <name val="Times New Roman"/>
      <family val="1"/>
    </font>
    <font>
      <b/>
      <sz val="12"/>
      <color rgb="FF860908"/>
      <name val="Times New Roman"/>
      <family val="1"/>
    </font>
    <font>
      <b/>
      <sz val="14"/>
      <color rgb="FF000000"/>
      <name val="Garamond"/>
      <family val="1"/>
    </font>
    <font>
      <sz val="18"/>
      <name val="Arial"/>
      <family val="2"/>
    </font>
    <font>
      <sz val="14"/>
      <color theme="1"/>
      <name val="Calibri"/>
      <family val="2"/>
    </font>
    <font>
      <b/>
      <sz val="14"/>
      <name val="Garamond"/>
      <family val="1"/>
    </font>
    <font>
      <b/>
      <sz val="12"/>
      <color rgb="FFFFFFFF"/>
      <name val="Garamond"/>
      <family val="1"/>
    </font>
    <font>
      <b/>
      <sz val="18"/>
      <color theme="1"/>
      <name val="Times New Roman"/>
      <family val="1"/>
    </font>
    <font>
      <sz val="18"/>
      <color theme="1"/>
      <name val="Times New Roman"/>
      <family val="1"/>
    </font>
    <font>
      <b/>
      <sz val="12"/>
      <color rgb="FF000000"/>
      <name val="Times New Roman"/>
      <family val="1"/>
    </font>
    <font>
      <b/>
      <vertAlign val="subscript"/>
      <sz val="12"/>
      <color rgb="FF000000"/>
      <name val="Times New Roman"/>
      <family val="1"/>
    </font>
    <font>
      <b/>
      <sz val="12"/>
      <color rgb="FF000000"/>
      <name val="Garamond"/>
      <family val="1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860908"/>
        <bgColor indexed="64"/>
      </patternFill>
    </fill>
    <fill>
      <patternFill patternType="solid">
        <fgColor rgb="FFEDE7E7"/>
        <bgColor indexed="64"/>
      </patternFill>
    </fill>
    <fill>
      <patternFill patternType="solid">
        <fgColor rgb="FFD9CCCC"/>
        <bgColor indexed="64"/>
      </patternFill>
    </fill>
  </fills>
  <borders count="19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/>
      <top style="medium">
        <color rgb="FFFFFFFF"/>
      </top>
      <bottom style="thick">
        <color rgb="FFFFFFFF"/>
      </bottom>
      <diagonal/>
    </border>
    <border>
      <left/>
      <right/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/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/>
      <bottom style="medium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FFFF"/>
      </left>
      <right/>
      <top style="thick">
        <color rgb="FFFFFFFF"/>
      </top>
      <bottom style="medium">
        <color rgb="FFFFFFFF"/>
      </bottom>
      <diagonal/>
    </border>
    <border>
      <left/>
      <right/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/>
      <right/>
      <top style="medium">
        <color rgb="FFFFFFFF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2" borderId="1" xfId="0" applyFont="1" applyFill="1" applyBorder="1" applyAlignment="1">
      <alignment horizontal="center" vertical="center" wrapText="1" readingOrder="1"/>
    </xf>
    <xf numFmtId="0" fontId="2" fillId="0" borderId="0" xfId="0" applyFont="1"/>
    <xf numFmtId="0" fontId="4" fillId="2" borderId="2" xfId="0" applyFont="1" applyFill="1" applyBorder="1" applyAlignment="1">
      <alignment vertical="center" wrapText="1" readingOrder="1"/>
    </xf>
    <xf numFmtId="0" fontId="3" fillId="3" borderId="7" xfId="0" applyFont="1" applyFill="1" applyBorder="1" applyAlignment="1">
      <alignment horizontal="left" vertical="center" wrapText="1" readingOrder="1"/>
    </xf>
    <xf numFmtId="0" fontId="3" fillId="3" borderId="7" xfId="0" applyFont="1" applyFill="1" applyBorder="1" applyAlignment="1">
      <alignment horizontal="center" vertical="center" wrapText="1" readingOrder="1"/>
    </xf>
    <xf numFmtId="8" fontId="3" fillId="3" borderId="7" xfId="0" applyNumberFormat="1" applyFont="1" applyFill="1" applyBorder="1" applyAlignment="1">
      <alignment horizontal="center" wrapText="1" readingOrder="1"/>
    </xf>
    <xf numFmtId="1" fontId="3" fillId="3" borderId="7" xfId="0" applyNumberFormat="1" applyFont="1" applyFill="1" applyBorder="1" applyAlignment="1">
      <alignment horizontal="center" wrapText="1" readingOrder="1"/>
    </xf>
    <xf numFmtId="0" fontId="3" fillId="4" borderId="7" xfId="0" applyFont="1" applyFill="1" applyBorder="1" applyAlignment="1">
      <alignment horizontal="left" vertical="center" wrapText="1" readingOrder="1"/>
    </xf>
    <xf numFmtId="0" fontId="3" fillId="4" borderId="7" xfId="0" applyFont="1" applyFill="1" applyBorder="1" applyAlignment="1">
      <alignment horizontal="center" vertical="center" wrapText="1" readingOrder="1"/>
    </xf>
    <xf numFmtId="8" fontId="3" fillId="4" borderId="7" xfId="0" applyNumberFormat="1" applyFont="1" applyFill="1" applyBorder="1" applyAlignment="1">
      <alignment horizontal="center" wrapText="1" readingOrder="1"/>
    </xf>
    <xf numFmtId="1" fontId="3" fillId="4" borderId="7" xfId="0" applyNumberFormat="1" applyFont="1" applyFill="1" applyBorder="1" applyAlignment="1">
      <alignment horizontal="center" wrapText="1" readingOrder="1"/>
    </xf>
    <xf numFmtId="1" fontId="5" fillId="3" borderId="7" xfId="0" applyNumberFormat="1" applyFont="1" applyFill="1" applyBorder="1" applyAlignment="1">
      <alignment horizontal="center" wrapText="1" readingOrder="1"/>
    </xf>
    <xf numFmtId="0" fontId="4" fillId="2" borderId="2" xfId="0" applyFont="1" applyFill="1" applyBorder="1" applyAlignment="1">
      <alignment vertical="center" readingOrder="1"/>
    </xf>
    <xf numFmtId="0" fontId="6" fillId="0" borderId="0" xfId="0" applyFont="1"/>
    <xf numFmtId="0" fontId="7" fillId="2" borderId="1" xfId="0" applyFont="1" applyFill="1" applyBorder="1" applyAlignment="1">
      <alignment horizontal="center" vertical="top" wrapText="1"/>
    </xf>
    <xf numFmtId="0" fontId="8" fillId="0" borderId="0" xfId="0" applyFont="1" applyAlignment="1">
      <alignment horizontal="center"/>
    </xf>
    <xf numFmtId="0" fontId="9" fillId="0" borderId="0" xfId="0" applyFont="1"/>
    <xf numFmtId="0" fontId="4" fillId="2" borderId="0" xfId="0" applyFont="1" applyFill="1" applyAlignment="1">
      <alignment horizontal="center" vertical="center" wrapText="1" readingOrder="1"/>
    </xf>
    <xf numFmtId="1" fontId="3" fillId="3" borderId="0" xfId="0" applyNumberFormat="1" applyFont="1" applyFill="1" applyAlignment="1">
      <alignment horizontal="center" wrapText="1" readingOrder="1"/>
    </xf>
    <xf numFmtId="1" fontId="3" fillId="4" borderId="0" xfId="0" applyNumberFormat="1" applyFont="1" applyFill="1" applyAlignment="1">
      <alignment horizontal="center" wrapText="1" readingOrder="1"/>
    </xf>
    <xf numFmtId="1" fontId="5" fillId="3" borderId="0" xfId="0" applyNumberFormat="1" applyFont="1" applyFill="1" applyAlignment="1">
      <alignment horizontal="center" wrapText="1" readingOrder="1"/>
    </xf>
    <xf numFmtId="164" fontId="2" fillId="0" borderId="0" xfId="0" applyNumberFormat="1" applyFont="1"/>
    <xf numFmtId="164" fontId="0" fillId="0" borderId="0" xfId="0" applyNumberFormat="1"/>
    <xf numFmtId="0" fontId="10" fillId="2" borderId="4" xfId="0" applyFont="1" applyFill="1" applyBorder="1" applyAlignment="1">
      <alignment horizontal="center" vertical="center" wrapText="1" readingOrder="1"/>
    </xf>
    <xf numFmtId="0" fontId="10" fillId="2" borderId="1" xfId="0" applyFont="1" applyFill="1" applyBorder="1" applyAlignment="1">
      <alignment horizontal="center" vertical="center" wrapText="1" readingOrder="1"/>
    </xf>
    <xf numFmtId="0" fontId="10" fillId="2" borderId="6" xfId="0" applyFont="1" applyFill="1" applyBorder="1" applyAlignment="1">
      <alignment horizontal="center" vertical="center" wrapText="1" readingOrder="1"/>
    </xf>
    <xf numFmtId="0" fontId="10" fillId="2" borderId="7" xfId="0" applyFont="1" applyFill="1" applyBorder="1" applyAlignment="1">
      <alignment horizontal="center" vertical="center" wrapText="1" readingOrder="1"/>
    </xf>
    <xf numFmtId="0" fontId="11" fillId="0" borderId="0" xfId="0" applyFont="1"/>
    <xf numFmtId="0" fontId="12" fillId="0" borderId="0" xfId="0" applyFont="1"/>
    <xf numFmtId="8" fontId="2" fillId="0" borderId="9" xfId="0" applyNumberFormat="1" applyFont="1" applyBorder="1"/>
    <xf numFmtId="164" fontId="2" fillId="0" borderId="9" xfId="0" applyNumberFormat="1" applyFont="1" applyBorder="1"/>
    <xf numFmtId="1" fontId="2" fillId="0" borderId="9" xfId="0" applyNumberFormat="1" applyFont="1" applyBorder="1"/>
    <xf numFmtId="0" fontId="13" fillId="3" borderId="7" xfId="0" applyFont="1" applyFill="1" applyBorder="1" applyAlignment="1">
      <alignment horizontal="left" vertical="center" wrapText="1" readingOrder="1"/>
    </xf>
    <xf numFmtId="0" fontId="13" fillId="3" borderId="7" xfId="0" applyFont="1" applyFill="1" applyBorder="1" applyAlignment="1">
      <alignment horizontal="center" vertical="center" wrapText="1" readingOrder="1"/>
    </xf>
    <xf numFmtId="8" fontId="13" fillId="3" borderId="7" xfId="0" applyNumberFormat="1" applyFont="1" applyFill="1" applyBorder="1" applyAlignment="1">
      <alignment horizontal="center" wrapText="1" readingOrder="1"/>
    </xf>
    <xf numFmtId="0" fontId="13" fillId="4" borderId="7" xfId="0" applyFont="1" applyFill="1" applyBorder="1" applyAlignment="1">
      <alignment horizontal="left" vertical="center" wrapText="1" readingOrder="1"/>
    </xf>
    <xf numFmtId="0" fontId="13" fillId="4" borderId="7" xfId="0" applyFont="1" applyFill="1" applyBorder="1" applyAlignment="1">
      <alignment horizontal="center" vertical="center" wrapText="1" readingOrder="1"/>
    </xf>
    <xf numFmtId="8" fontId="13" fillId="4" borderId="7" xfId="0" applyNumberFormat="1" applyFont="1" applyFill="1" applyBorder="1" applyAlignment="1">
      <alignment horizontal="center" wrapText="1" readingOrder="1"/>
    </xf>
    <xf numFmtId="8" fontId="15" fillId="4" borderId="5" xfId="0" applyNumberFormat="1" applyFont="1" applyFill="1" applyBorder="1" applyAlignment="1">
      <alignment horizontal="center" vertical="top" wrapText="1" readingOrder="1"/>
    </xf>
    <xf numFmtId="6" fontId="15" fillId="4" borderId="5" xfId="0" applyNumberFormat="1" applyFont="1" applyFill="1" applyBorder="1" applyAlignment="1">
      <alignment horizontal="center" vertical="center" wrapText="1" readingOrder="1"/>
    </xf>
    <xf numFmtId="6" fontId="15" fillId="4" borderId="5" xfId="0" applyNumberFormat="1" applyFont="1" applyFill="1" applyBorder="1" applyAlignment="1">
      <alignment horizontal="center" vertical="top" wrapText="1" readingOrder="1"/>
    </xf>
    <xf numFmtId="0" fontId="15" fillId="4" borderId="7" xfId="0" applyFont="1" applyFill="1" applyBorder="1" applyAlignment="1">
      <alignment horizontal="center" wrapText="1" readingOrder="1"/>
    </xf>
    <xf numFmtId="0" fontId="15" fillId="3" borderId="7" xfId="0" applyFont="1" applyFill="1" applyBorder="1" applyAlignment="1">
      <alignment horizontal="center" wrapText="1" readingOrder="1"/>
    </xf>
    <xf numFmtId="0" fontId="15" fillId="4" borderId="5" xfId="0" applyFont="1" applyFill="1" applyBorder="1" applyAlignment="1">
      <alignment horizontal="center" vertical="center" wrapText="1" readingOrder="1"/>
    </xf>
    <xf numFmtId="0" fontId="2" fillId="0" borderId="9" xfId="0" applyFont="1" applyBorder="1"/>
    <xf numFmtId="6" fontId="2" fillId="0" borderId="9" xfId="0" applyNumberFormat="1" applyFont="1" applyBorder="1"/>
    <xf numFmtId="0" fontId="16" fillId="0" borderId="0" xfId="0" applyFont="1" applyAlignment="1">
      <alignment horizontal="left"/>
    </xf>
    <xf numFmtId="0" fontId="16" fillId="0" borderId="0" xfId="0" applyFont="1"/>
    <xf numFmtId="0" fontId="2" fillId="0" borderId="14" xfId="0" applyFont="1" applyBorder="1"/>
    <xf numFmtId="0" fontId="2" fillId="0" borderId="15" xfId="0" applyFont="1" applyBorder="1"/>
    <xf numFmtId="0" fontId="10" fillId="2" borderId="10" xfId="0" applyFont="1" applyFill="1" applyBorder="1" applyAlignment="1">
      <alignment horizontal="center" vertical="center" wrapText="1" readingOrder="1"/>
    </xf>
    <xf numFmtId="0" fontId="10" fillId="2" borderId="11" xfId="0" applyFont="1" applyFill="1" applyBorder="1" applyAlignment="1">
      <alignment horizontal="center" vertical="center" wrapText="1" readingOrder="1"/>
    </xf>
    <xf numFmtId="0" fontId="4" fillId="2" borderId="2" xfId="0" applyFont="1" applyFill="1" applyBorder="1" applyAlignment="1">
      <alignment horizontal="center" vertical="center" wrapText="1" readingOrder="1"/>
    </xf>
    <xf numFmtId="0" fontId="4" fillId="2" borderId="3" xfId="0" applyFont="1" applyFill="1" applyBorder="1" applyAlignment="1">
      <alignment horizontal="center" vertical="center" wrapText="1" readingOrder="1"/>
    </xf>
    <xf numFmtId="0" fontId="4" fillId="2" borderId="12" xfId="0" applyFont="1" applyFill="1" applyBorder="1" applyAlignment="1">
      <alignment horizontal="center" vertical="center" wrapText="1" readingOrder="1"/>
    </xf>
    <xf numFmtId="0" fontId="4" fillId="2" borderId="8" xfId="0" applyFont="1" applyFill="1" applyBorder="1" applyAlignment="1">
      <alignment horizontal="center" vertical="center" wrapText="1" readingOrder="1"/>
    </xf>
    <xf numFmtId="0" fontId="10" fillId="2" borderId="2" xfId="0" applyFont="1" applyFill="1" applyBorder="1" applyAlignment="1">
      <alignment horizontal="center" vertical="center" wrapText="1" readingOrder="1"/>
    </xf>
    <xf numFmtId="0" fontId="10" fillId="2" borderId="3" xfId="0" applyFont="1" applyFill="1" applyBorder="1" applyAlignment="1">
      <alignment horizontal="center" vertical="center" wrapText="1" readingOrder="1"/>
    </xf>
    <xf numFmtId="0" fontId="4" fillId="2" borderId="13" xfId="0" applyFont="1" applyFill="1" applyBorder="1" applyAlignment="1">
      <alignment horizontal="center" vertical="center" wrapText="1" readingOrder="1"/>
    </xf>
    <xf numFmtId="0" fontId="0" fillId="0" borderId="0" xfId="0" applyFill="1"/>
    <xf numFmtId="0" fontId="2" fillId="0" borderId="0" xfId="0" applyFont="1" applyFill="1"/>
    <xf numFmtId="0" fontId="2" fillId="0" borderId="0" xfId="0" applyFont="1" applyBorder="1"/>
    <xf numFmtId="8" fontId="2" fillId="0" borderId="16" xfId="0" applyNumberFormat="1" applyFont="1" applyBorder="1"/>
    <xf numFmtId="0" fontId="16" fillId="0" borderId="14" xfId="0" applyFont="1" applyBorder="1"/>
    <xf numFmtId="0" fontId="2" fillId="0" borderId="0" xfId="0" applyFont="1" applyAlignment="1">
      <alignment wrapText="1"/>
    </xf>
    <xf numFmtId="0" fontId="16" fillId="0" borderId="15" xfId="0" applyFont="1" applyBorder="1"/>
    <xf numFmtId="0" fontId="16" fillId="0" borderId="16" xfId="0" applyFont="1" applyBorder="1"/>
    <xf numFmtId="0" fontId="2" fillId="0" borderId="15" xfId="0" applyFont="1" applyBorder="1" applyAlignment="1">
      <alignment wrapText="1"/>
    </xf>
    <xf numFmtId="8" fontId="2" fillId="0" borderId="18" xfId="0" applyNumberFormat="1" applyFont="1" applyBorder="1"/>
    <xf numFmtId="8" fontId="16" fillId="0" borderId="17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E30A7-D317-4BC5-B4BD-C0B35576EBCE}">
  <dimension ref="A1:S230"/>
  <sheetViews>
    <sheetView tabSelected="1" topLeftCell="A18" zoomScaleNormal="100" workbookViewId="0">
      <selection activeCell="D44" sqref="D44"/>
    </sheetView>
  </sheetViews>
  <sheetFormatPr defaultColWidth="11.42578125" defaultRowHeight="15.75" x14ac:dyDescent="0.25"/>
  <cols>
    <col min="1" max="1" width="33" style="2" bestFit="1" customWidth="1"/>
    <col min="2" max="2" width="28.42578125" style="2" customWidth="1"/>
    <col min="3" max="3" width="11.42578125" style="2"/>
    <col min="4" max="4" width="19.28515625" style="2" bestFit="1" customWidth="1"/>
    <col min="5" max="5" width="19.7109375" style="2" bestFit="1" customWidth="1"/>
    <col min="6" max="6" width="6.28515625" style="2" customWidth="1"/>
    <col min="7" max="7" width="22.7109375" style="2" bestFit="1" customWidth="1"/>
    <col min="8" max="8" width="27" style="2" bestFit="1" customWidth="1"/>
    <col min="9" max="9" width="17.28515625" style="2" bestFit="1" customWidth="1"/>
    <col min="10" max="10" width="21.85546875" style="2" bestFit="1" customWidth="1"/>
    <col min="11" max="11" width="11.42578125" style="2"/>
    <col min="12" max="12" width="20.140625" style="2" customWidth="1"/>
    <col min="13" max="16384" width="11.42578125" style="2"/>
  </cols>
  <sheetData>
    <row r="1" spans="1:19" ht="31.5" customHeight="1" thickBot="1" x14ac:dyDescent="0.3">
      <c r="A1" s="53" t="s">
        <v>0</v>
      </c>
      <c r="B1" s="54"/>
      <c r="C1" s="54"/>
      <c r="D1" s="54"/>
      <c r="E1" s="18"/>
      <c r="F1"/>
      <c r="G1" s="3" t="s">
        <v>1</v>
      </c>
      <c r="H1"/>
      <c r="I1"/>
      <c r="J1"/>
    </row>
    <row r="2" spans="1:19" ht="22.5" thickTop="1" thickBot="1" x14ac:dyDescent="0.3">
      <c r="A2" s="33" t="s">
        <v>2</v>
      </c>
      <c r="B2" s="34" t="s">
        <v>3</v>
      </c>
      <c r="C2" s="35">
        <v>0</v>
      </c>
      <c r="D2" s="7">
        <v>0</v>
      </c>
      <c r="E2" s="3" t="s">
        <v>4</v>
      </c>
      <c r="F2" s="22"/>
      <c r="G2" s="25" t="s">
        <v>5</v>
      </c>
      <c r="H2" s="25" t="s">
        <v>4</v>
      </c>
      <c r="I2" s="25" t="s">
        <v>6</v>
      </c>
      <c r="J2" s="25" t="s">
        <v>7</v>
      </c>
      <c r="K2" s="1" t="s">
        <v>8</v>
      </c>
    </row>
    <row r="3" spans="1:19" ht="18.75" thickTop="1" thickBot="1" x14ac:dyDescent="0.3">
      <c r="A3" s="36" t="s">
        <v>9</v>
      </c>
      <c r="B3" s="37" t="s">
        <v>10</v>
      </c>
      <c r="C3" s="38">
        <v>0.98</v>
      </c>
      <c r="D3" s="11">
        <v>15</v>
      </c>
      <c r="E3" s="20"/>
      <c r="F3" s="22"/>
      <c r="G3" s="36" t="s">
        <v>2</v>
      </c>
      <c r="H3" s="39">
        <v>0.01</v>
      </c>
      <c r="I3" s="39">
        <v>8.36</v>
      </c>
      <c r="J3" s="39">
        <v>0.01</v>
      </c>
      <c r="K3" s="40">
        <v>10</v>
      </c>
    </row>
    <row r="4" spans="1:19" ht="18.75" thickTop="1" thickBot="1" x14ac:dyDescent="0.3">
      <c r="A4" s="33" t="s">
        <v>11</v>
      </c>
      <c r="B4" s="34" t="s">
        <v>12</v>
      </c>
      <c r="C4" s="35">
        <v>0.69</v>
      </c>
      <c r="D4" s="7">
        <v>0</v>
      </c>
      <c r="E4" s="19"/>
      <c r="F4" s="22"/>
      <c r="G4" s="36" t="s">
        <v>9</v>
      </c>
      <c r="H4" s="39">
        <v>20.32</v>
      </c>
      <c r="I4" s="39">
        <v>1.42</v>
      </c>
      <c r="J4" s="39">
        <v>18.43</v>
      </c>
      <c r="K4" s="41">
        <v>50</v>
      </c>
    </row>
    <row r="5" spans="1:19" ht="15.75" customHeight="1" thickBot="1" x14ac:dyDescent="0.3">
      <c r="A5" s="36" t="s">
        <v>13</v>
      </c>
      <c r="B5" s="37" t="s">
        <v>14</v>
      </c>
      <c r="C5" s="38">
        <v>0.98</v>
      </c>
      <c r="D5" s="11">
        <v>0</v>
      </c>
      <c r="E5" s="20"/>
      <c r="F5" s="22"/>
      <c r="G5"/>
      <c r="H5"/>
      <c r="I5"/>
      <c r="J5"/>
      <c r="K5"/>
    </row>
    <row r="6" spans="1:19" ht="18" thickBot="1" x14ac:dyDescent="0.3">
      <c r="A6" s="33" t="s">
        <v>2</v>
      </c>
      <c r="B6" s="34" t="s">
        <v>15</v>
      </c>
      <c r="C6" s="35">
        <v>0.81</v>
      </c>
      <c r="D6" s="7">
        <v>0</v>
      </c>
      <c r="E6" s="3" t="s">
        <v>6</v>
      </c>
      <c r="F6" s="22"/>
      <c r="K6"/>
    </row>
    <row r="7" spans="1:19" ht="18" thickBot="1" x14ac:dyDescent="0.3">
      <c r="A7" s="36" t="s">
        <v>9</v>
      </c>
      <c r="B7" s="37" t="s">
        <v>16</v>
      </c>
      <c r="C7" s="38">
        <v>0.08</v>
      </c>
      <c r="D7" s="11">
        <v>0.39061887360010117</v>
      </c>
      <c r="E7" s="20"/>
      <c r="F7" s="22"/>
    </row>
    <row r="8" spans="1:19" ht="18" thickBot="1" x14ac:dyDescent="0.3">
      <c r="A8" s="33" t="s">
        <v>11</v>
      </c>
      <c r="B8" s="34" t="s">
        <v>17</v>
      </c>
      <c r="C8" s="35">
        <v>0.86</v>
      </c>
      <c r="D8" s="7">
        <v>0</v>
      </c>
      <c r="E8" s="19"/>
      <c r="F8" s="22"/>
    </row>
    <row r="9" spans="1:19" ht="18" thickBot="1" x14ac:dyDescent="0.3">
      <c r="A9" s="36" t="s">
        <v>13</v>
      </c>
      <c r="B9" s="37" t="s">
        <v>18</v>
      </c>
      <c r="C9" s="38">
        <v>0.59</v>
      </c>
      <c r="D9" s="11">
        <v>19.609381126399896</v>
      </c>
      <c r="E9" s="20"/>
      <c r="F9" s="22"/>
      <c r="G9" s="55" t="s">
        <v>19</v>
      </c>
      <c r="H9" s="56"/>
      <c r="I9" s="56"/>
    </row>
    <row r="10" spans="1:19" ht="18" thickBot="1" x14ac:dyDescent="0.3">
      <c r="A10" s="33" t="s">
        <v>2</v>
      </c>
      <c r="B10" s="34" t="s">
        <v>20</v>
      </c>
      <c r="C10" s="35">
        <v>0</v>
      </c>
      <c r="D10" s="7">
        <v>0</v>
      </c>
      <c r="E10" s="13" t="s">
        <v>7</v>
      </c>
      <c r="F10" s="22"/>
      <c r="G10" s="57" t="s">
        <v>4</v>
      </c>
      <c r="H10" s="58"/>
      <c r="I10" s="58"/>
    </row>
    <row r="11" spans="1:19" ht="18.75" thickTop="1" thickBot="1" x14ac:dyDescent="0.3">
      <c r="A11" s="36" t="s">
        <v>9</v>
      </c>
      <c r="B11" s="37" t="s">
        <v>21</v>
      </c>
      <c r="C11" s="38">
        <v>1.29</v>
      </c>
      <c r="D11" s="11">
        <v>24.999999999999996</v>
      </c>
      <c r="E11" s="20"/>
      <c r="F11" s="22"/>
      <c r="G11" s="24" t="s">
        <v>22</v>
      </c>
      <c r="H11" s="51" t="s">
        <v>23</v>
      </c>
      <c r="I11" s="52"/>
      <c r="J11"/>
      <c r="K11"/>
    </row>
    <row r="12" spans="1:19" ht="18" thickBot="1" x14ac:dyDescent="0.3">
      <c r="A12" s="33" t="s">
        <v>11</v>
      </c>
      <c r="B12" s="34" t="s">
        <v>24</v>
      </c>
      <c r="C12" s="35">
        <v>0.81</v>
      </c>
      <c r="D12" s="7">
        <v>0</v>
      </c>
      <c r="E12" s="19"/>
      <c r="F12" s="22"/>
      <c r="G12" s="26"/>
      <c r="H12" s="27">
        <v>1</v>
      </c>
      <c r="I12" s="27">
        <v>2</v>
      </c>
      <c r="J12"/>
      <c r="K12"/>
    </row>
    <row r="13" spans="1:19" ht="18" thickBot="1" x14ac:dyDescent="0.3">
      <c r="A13" s="36" t="s">
        <v>13</v>
      </c>
      <c r="B13" s="37" t="s">
        <v>25</v>
      </c>
      <c r="C13" s="38">
        <v>1.29</v>
      </c>
      <c r="D13" s="11">
        <v>0</v>
      </c>
      <c r="E13" s="20"/>
      <c r="F13" s="22"/>
      <c r="G13" s="36" t="s">
        <v>2</v>
      </c>
      <c r="H13" s="42">
        <v>9.7000000000000003E-2</v>
      </c>
      <c r="I13" s="42">
        <v>6.0999999999999999E-2</v>
      </c>
      <c r="J13"/>
      <c r="K13"/>
      <c r="M13"/>
      <c r="N13"/>
      <c r="O13"/>
      <c r="P13"/>
      <c r="Q13"/>
      <c r="R13"/>
      <c r="S13"/>
    </row>
    <row r="14" spans="1:19" ht="16.5" thickBot="1" x14ac:dyDescent="0.3">
      <c r="A14" s="4"/>
      <c r="B14" s="5"/>
      <c r="C14" s="6"/>
      <c r="D14" s="12"/>
      <c r="E14" s="21"/>
      <c r="F14" s="22"/>
      <c r="G14" s="36" t="s">
        <v>9</v>
      </c>
      <c r="H14" s="43">
        <v>4.8000000000000001E-2</v>
      </c>
      <c r="I14" s="43">
        <v>3.4000000000000002E-2</v>
      </c>
      <c r="J14"/>
      <c r="K14"/>
      <c r="M14"/>
      <c r="N14"/>
      <c r="O14"/>
      <c r="P14"/>
      <c r="Q14"/>
      <c r="R14"/>
      <c r="S14"/>
    </row>
    <row r="15" spans="1:19" ht="16.5" thickBot="1" x14ac:dyDescent="0.3">
      <c r="A15" s="8"/>
      <c r="B15" s="9"/>
      <c r="C15" s="10"/>
      <c r="D15" s="11"/>
      <c r="E15" s="20"/>
      <c r="F15" s="22"/>
      <c r="J15"/>
      <c r="K15"/>
      <c r="M15"/>
      <c r="N15"/>
      <c r="O15"/>
      <c r="P15"/>
      <c r="Q15"/>
      <c r="R15"/>
      <c r="S15"/>
    </row>
    <row r="16" spans="1:19" ht="16.5" thickBot="1" x14ac:dyDescent="0.3">
      <c r="A16" s="4"/>
      <c r="B16" s="5"/>
      <c r="C16" s="6"/>
      <c r="D16" s="7"/>
      <c r="E16" s="19"/>
      <c r="F16" s="22"/>
      <c r="G16" s="55" t="s">
        <v>6</v>
      </c>
      <c r="H16" s="56"/>
      <c r="I16" s="56"/>
      <c r="J16"/>
      <c r="K16"/>
      <c r="M16"/>
      <c r="N16"/>
      <c r="O16"/>
      <c r="P16"/>
      <c r="Q16"/>
      <c r="R16"/>
      <c r="S16"/>
    </row>
    <row r="17" spans="1:19" ht="17.25" thickTop="1" thickBot="1" x14ac:dyDescent="0.3">
      <c r="A17" s="8"/>
      <c r="B17" s="9"/>
      <c r="C17" s="10"/>
      <c r="D17" s="11"/>
      <c r="E17" s="20"/>
      <c r="F17" s="22"/>
      <c r="G17" s="24" t="s">
        <v>22</v>
      </c>
      <c r="H17" s="51" t="s">
        <v>23</v>
      </c>
      <c r="I17" s="52"/>
      <c r="J17"/>
      <c r="K17"/>
      <c r="M17"/>
      <c r="N17"/>
      <c r="O17"/>
      <c r="P17"/>
      <c r="Q17"/>
      <c r="R17"/>
      <c r="S17"/>
    </row>
    <row r="18" spans="1:19" ht="16.5" thickBot="1" x14ac:dyDescent="0.3">
      <c r="A18" s="4"/>
      <c r="B18" s="5"/>
      <c r="C18" s="6"/>
      <c r="D18" s="7"/>
      <c r="E18" s="19"/>
      <c r="F18" s="23"/>
      <c r="G18" s="26"/>
      <c r="H18" s="27">
        <v>1</v>
      </c>
      <c r="I18" s="27">
        <v>2</v>
      </c>
      <c r="J18"/>
      <c r="K18"/>
      <c r="M18"/>
      <c r="N18"/>
      <c r="O18"/>
      <c r="P18"/>
      <c r="Q18"/>
      <c r="R18"/>
      <c r="S18"/>
    </row>
    <row r="19" spans="1:19" ht="16.5" thickBot="1" x14ac:dyDescent="0.3">
      <c r="A19" s="8"/>
      <c r="B19" s="9"/>
      <c r="C19" s="10"/>
      <c r="D19" s="11"/>
      <c r="E19" s="20"/>
      <c r="F19" s="22"/>
      <c r="G19" s="36" t="s">
        <v>2</v>
      </c>
      <c r="H19" s="42">
        <v>9.7000000000000003E-2</v>
      </c>
      <c r="I19" s="42">
        <v>6.0999999999999999E-2</v>
      </c>
      <c r="M19"/>
      <c r="N19"/>
      <c r="O19"/>
      <c r="P19"/>
      <c r="Q19"/>
      <c r="R19"/>
      <c r="S19"/>
    </row>
    <row r="20" spans="1:19" ht="16.5" thickBot="1" x14ac:dyDescent="0.3">
      <c r="A20" s="4"/>
      <c r="B20" s="5"/>
      <c r="C20" s="6"/>
      <c r="D20" s="7"/>
      <c r="E20" s="19"/>
      <c r="F20" s="22"/>
      <c r="G20" s="36" t="s">
        <v>9</v>
      </c>
      <c r="H20" s="43">
        <v>5.3999999999999999E-2</v>
      </c>
      <c r="I20" s="43">
        <v>3.4000000000000002E-2</v>
      </c>
      <c r="J20"/>
      <c r="K20"/>
      <c r="M20"/>
      <c r="N20"/>
      <c r="O20"/>
      <c r="P20"/>
      <c r="Q20"/>
      <c r="R20"/>
      <c r="S20"/>
    </row>
    <row r="21" spans="1:19" ht="16.5" thickBot="1" x14ac:dyDescent="0.3">
      <c r="A21" s="8"/>
      <c r="B21" s="9"/>
      <c r="C21" s="10"/>
      <c r="D21" s="11"/>
      <c r="E21" s="20"/>
      <c r="F21" s="23"/>
      <c r="J21"/>
      <c r="K21"/>
      <c r="M21"/>
      <c r="N21"/>
      <c r="O21"/>
      <c r="P21"/>
      <c r="Q21"/>
      <c r="R21"/>
      <c r="S21"/>
    </row>
    <row r="22" spans="1:19" ht="16.5" thickBot="1" x14ac:dyDescent="0.3">
      <c r="F22"/>
      <c r="G22" s="57" t="s">
        <v>7</v>
      </c>
      <c r="H22" s="58"/>
      <c r="I22" s="58"/>
      <c r="J22"/>
      <c r="K22"/>
      <c r="M22"/>
      <c r="N22"/>
      <c r="O22"/>
      <c r="P22"/>
      <c r="Q22"/>
      <c r="R22"/>
      <c r="S22"/>
    </row>
    <row r="23" spans="1:19" ht="17.25" thickTop="1" thickBot="1" x14ac:dyDescent="0.3">
      <c r="A23" s="53" t="s">
        <v>26</v>
      </c>
      <c r="B23" s="59"/>
      <c r="C23" s="54"/>
      <c r="D23" s="54"/>
      <c r="E23" s="60"/>
      <c r="F23"/>
      <c r="G23" s="24" t="s">
        <v>22</v>
      </c>
      <c r="H23" s="51" t="s">
        <v>23</v>
      </c>
      <c r="I23" s="52"/>
      <c r="J23"/>
      <c r="K23"/>
      <c r="M23"/>
      <c r="N23"/>
      <c r="O23"/>
      <c r="P23"/>
      <c r="Q23"/>
      <c r="R23"/>
      <c r="S23"/>
    </row>
    <row r="24" spans="1:19" ht="17.25" thickTop="1" thickBot="1" x14ac:dyDescent="0.3">
      <c r="A24" s="48" t="s">
        <v>27</v>
      </c>
      <c r="B24" s="30">
        <f>C2*D2+C3*D3+C4*D4+C5*D5+C6*D6+C7*D7+C8*D8+C9*D9+C10*D10+C11*D11+C12*D12+C13*D13</f>
        <v>58.550784374463937</v>
      </c>
      <c r="E24" s="61"/>
      <c r="F24"/>
      <c r="G24" s="26"/>
      <c r="H24" s="27">
        <v>1</v>
      </c>
      <c r="I24" s="27">
        <v>2</v>
      </c>
      <c r="J24"/>
      <c r="K24"/>
      <c r="M24"/>
      <c r="N24"/>
      <c r="O24"/>
      <c r="P24"/>
      <c r="Q24"/>
      <c r="R24"/>
      <c r="S24"/>
    </row>
    <row r="25" spans="1:19" ht="16.5" thickBot="1" x14ac:dyDescent="0.3">
      <c r="A25" s="2" t="s">
        <v>40</v>
      </c>
      <c r="B25" s="2">
        <f>0*D2+0.98*D3+0.69*D4+0.98*D5+0.81*D6+0.08*D7+0.86*D8+0.59*D9+0*D10+1.29*D11+0.81*D12+1.29*D13</f>
        <v>58.550784374463937</v>
      </c>
      <c r="E25" s="61"/>
      <c r="F25"/>
      <c r="G25" s="36" t="s">
        <v>2</v>
      </c>
      <c r="H25" s="42">
        <v>8.1000000000000003E-2</v>
      </c>
      <c r="I25" s="42">
        <v>5.0999999999999997E-2</v>
      </c>
      <c r="J25"/>
      <c r="K25"/>
      <c r="M25"/>
      <c r="N25"/>
      <c r="O25"/>
      <c r="P25"/>
      <c r="Q25"/>
      <c r="R25"/>
      <c r="S25"/>
    </row>
    <row r="26" spans="1:19" ht="16.5" thickBot="1" x14ac:dyDescent="0.3">
      <c r="A26" s="53" t="s">
        <v>28</v>
      </c>
      <c r="B26" s="54"/>
      <c r="C26" s="54"/>
      <c r="D26" s="54"/>
      <c r="E26" s="60"/>
      <c r="F26"/>
      <c r="G26" s="36" t="s">
        <v>9</v>
      </c>
      <c r="H26" s="43">
        <v>7.0000000000000007E-2</v>
      </c>
      <c r="I26" s="43">
        <v>4.3999999999999997E-2</v>
      </c>
      <c r="J26"/>
      <c r="K26"/>
      <c r="N26"/>
      <c r="O26"/>
      <c r="P26"/>
      <c r="Q26"/>
      <c r="R26"/>
      <c r="S26"/>
    </row>
    <row r="27" spans="1:19" ht="16.5" thickTop="1" x14ac:dyDescent="0.25">
      <c r="C27" s="2" t="s">
        <v>29</v>
      </c>
      <c r="E27" s="61"/>
      <c r="F27"/>
      <c r="N27"/>
      <c r="O27"/>
      <c r="P27"/>
      <c r="Q27"/>
      <c r="R27"/>
      <c r="S27"/>
    </row>
    <row r="28" spans="1:19" ht="18.75" x14ac:dyDescent="0.3">
      <c r="A28" s="14" t="s">
        <v>30</v>
      </c>
      <c r="B28" s="31">
        <f>0.01*( 0.097*D2+ 0.097*D4+ 0.061*D5 ) + 8.36* (0.097*D6+ 0.097*D8+ 0.061*D9  ) + 0.01* (0.081*D10 + 0.081* D12 + 0.051*D13 )</f>
        <v>9.9999999992188897</v>
      </c>
      <c r="C28" s="16" t="s">
        <v>31</v>
      </c>
      <c r="D28" s="46">
        <f>K3</f>
        <v>10</v>
      </c>
      <c r="E28" s="61"/>
      <c r="F28"/>
      <c r="J28"/>
      <c r="K28"/>
      <c r="N28"/>
      <c r="O28"/>
      <c r="P28"/>
      <c r="Q28"/>
      <c r="R28"/>
      <c r="S28"/>
    </row>
    <row r="29" spans="1:19" ht="18.75" x14ac:dyDescent="0.3">
      <c r="A29" s="17" t="s">
        <v>32</v>
      </c>
      <c r="B29" s="31">
        <f>20.32*( 0.048*D3+ 0.034*D4+ 0.048*D5 ) + 1.42* (0.054*D7+ 0.034*D8+ 0.054*D9  ) + 18.43* (0.07*D11 + 0.044* D12 + 0.07*D13 )</f>
        <v>48.416499999999999</v>
      </c>
      <c r="C29" s="16" t="s">
        <v>31</v>
      </c>
      <c r="D29" s="46">
        <v>50</v>
      </c>
      <c r="E29" s="61"/>
      <c r="F29"/>
      <c r="J29"/>
      <c r="K29"/>
      <c r="N29"/>
      <c r="O29"/>
      <c r="P29"/>
      <c r="Q29"/>
      <c r="R29"/>
      <c r="S29"/>
    </row>
    <row r="30" spans="1:19" x14ac:dyDescent="0.25">
      <c r="A30"/>
      <c r="B30"/>
      <c r="C30"/>
      <c r="D30"/>
      <c r="E30" s="60"/>
      <c r="F30"/>
      <c r="J30"/>
      <c r="K30"/>
      <c r="N30"/>
      <c r="O30"/>
      <c r="P30"/>
      <c r="Q30"/>
      <c r="R30"/>
      <c r="S30"/>
    </row>
    <row r="31" spans="1:19" x14ac:dyDescent="0.25">
      <c r="A31"/>
      <c r="B31"/>
      <c r="C31"/>
      <c r="D31"/>
      <c r="E31" s="60"/>
      <c r="F31"/>
      <c r="J31"/>
      <c r="K31"/>
      <c r="N31"/>
      <c r="O31"/>
      <c r="P31"/>
      <c r="Q31"/>
      <c r="R31"/>
      <c r="S31"/>
    </row>
    <row r="32" spans="1:19" ht="16.5" thickBot="1" x14ac:dyDescent="0.3">
      <c r="E32" s="61"/>
      <c r="F32"/>
      <c r="J32"/>
      <c r="K32"/>
      <c r="N32"/>
      <c r="O32"/>
      <c r="P32"/>
      <c r="Q32"/>
      <c r="R32"/>
      <c r="S32"/>
    </row>
    <row r="33" spans="1:19" ht="24" thickBot="1" x14ac:dyDescent="0.3">
      <c r="A33" s="53" t="s">
        <v>33</v>
      </c>
      <c r="B33" s="59"/>
      <c r="C33" s="54"/>
      <c r="D33" s="54"/>
      <c r="E33" s="60"/>
      <c r="G33" s="15"/>
      <c r="H33" s="25" t="s">
        <v>4</v>
      </c>
      <c r="I33" s="25" t="s">
        <v>6</v>
      </c>
      <c r="J33" s="25" t="s">
        <v>7</v>
      </c>
      <c r="K33"/>
      <c r="N33"/>
      <c r="O33"/>
      <c r="P33"/>
      <c r="Q33"/>
      <c r="R33"/>
      <c r="S33"/>
    </row>
    <row r="34" spans="1:19" ht="20.25" thickTop="1" thickBot="1" x14ac:dyDescent="0.35">
      <c r="A34" s="47" t="s">
        <v>34</v>
      </c>
      <c r="B34" s="32">
        <f>D2+D3+D4+D5</f>
        <v>15</v>
      </c>
      <c r="C34" s="16" t="s">
        <v>31</v>
      </c>
      <c r="D34" s="45">
        <v>15</v>
      </c>
      <c r="E34" s="61"/>
      <c r="G34" s="44" t="s">
        <v>35</v>
      </c>
      <c r="H34" s="44">
        <v>15</v>
      </c>
      <c r="I34" s="44">
        <v>20</v>
      </c>
      <c r="J34" s="44">
        <v>25</v>
      </c>
      <c r="K34"/>
      <c r="N34"/>
      <c r="O34"/>
      <c r="P34"/>
      <c r="Q34"/>
      <c r="R34"/>
      <c r="S34"/>
    </row>
    <row r="35" spans="1:19" ht="18.75" x14ac:dyDescent="0.3">
      <c r="A35" s="47" t="s">
        <v>36</v>
      </c>
      <c r="B35" s="32">
        <f>D6+D7+D8+D9</f>
        <v>19.999999999999996</v>
      </c>
      <c r="C35" s="16" t="s">
        <v>31</v>
      </c>
      <c r="D35" s="45">
        <v>20</v>
      </c>
      <c r="E35" s="61"/>
      <c r="F35"/>
      <c r="N35"/>
      <c r="O35"/>
      <c r="P35"/>
      <c r="Q35"/>
      <c r="R35"/>
      <c r="S35"/>
    </row>
    <row r="36" spans="1:19" ht="18.75" x14ac:dyDescent="0.3">
      <c r="A36" s="47" t="s">
        <v>37</v>
      </c>
      <c r="B36" s="32">
        <f>D10+D11+D12+D13</f>
        <v>24.999999999999996</v>
      </c>
      <c r="C36" s="16" t="s">
        <v>31</v>
      </c>
      <c r="D36" s="45">
        <v>25</v>
      </c>
      <c r="E36" s="61"/>
      <c r="F36"/>
      <c r="N36"/>
      <c r="O36"/>
      <c r="P36"/>
      <c r="Q36"/>
      <c r="R36"/>
      <c r="S36"/>
    </row>
    <row r="37" spans="1:19" x14ac:dyDescent="0.25">
      <c r="F37"/>
      <c r="N37"/>
      <c r="O37"/>
      <c r="P37"/>
      <c r="Q37"/>
      <c r="R37"/>
      <c r="S37"/>
    </row>
    <row r="38" spans="1:19" ht="22.5" x14ac:dyDescent="0.3">
      <c r="A38" s="28" t="s">
        <v>38</v>
      </c>
      <c r="F38"/>
      <c r="N38"/>
      <c r="O38"/>
      <c r="P38"/>
      <c r="Q38"/>
      <c r="R38"/>
      <c r="S38"/>
    </row>
    <row r="39" spans="1:19" ht="23.25" x14ac:dyDescent="0.35">
      <c r="A39" s="29" t="s">
        <v>39</v>
      </c>
      <c r="F39"/>
      <c r="N39"/>
      <c r="O39"/>
      <c r="P39"/>
      <c r="Q39"/>
      <c r="R39"/>
      <c r="S39"/>
    </row>
    <row r="40" spans="1:19" x14ac:dyDescent="0.25">
      <c r="A40" s="64" t="s">
        <v>47</v>
      </c>
      <c r="B40" s="66" t="s">
        <v>43</v>
      </c>
      <c r="C40" s="66" t="s">
        <v>42</v>
      </c>
      <c r="D40" s="67" t="s">
        <v>44</v>
      </c>
      <c r="F40"/>
      <c r="N40"/>
      <c r="O40"/>
      <c r="P40"/>
      <c r="Q40"/>
      <c r="R40"/>
      <c r="S40"/>
    </row>
    <row r="41" spans="1:19" x14ac:dyDescent="0.25">
      <c r="A41" s="49" t="s">
        <v>41</v>
      </c>
      <c r="B41" s="65" t="s">
        <v>9</v>
      </c>
      <c r="C41" s="50">
        <v>15</v>
      </c>
      <c r="D41" s="63">
        <v>14.7</v>
      </c>
      <c r="F41"/>
      <c r="N41"/>
      <c r="O41"/>
      <c r="P41"/>
      <c r="Q41"/>
      <c r="R41"/>
      <c r="S41"/>
    </row>
    <row r="42" spans="1:19" x14ac:dyDescent="0.25">
      <c r="A42" s="49" t="s">
        <v>45</v>
      </c>
      <c r="B42" s="50" t="s">
        <v>13</v>
      </c>
      <c r="C42" s="50">
        <v>20</v>
      </c>
      <c r="D42" s="63">
        <v>11.8</v>
      </c>
      <c r="E42" s="62"/>
      <c r="F42"/>
      <c r="N42"/>
      <c r="O42"/>
      <c r="P42"/>
      <c r="Q42"/>
      <c r="R42"/>
      <c r="S42"/>
    </row>
    <row r="43" spans="1:19" ht="16.5" thickBot="1" x14ac:dyDescent="0.3">
      <c r="A43" s="49" t="s">
        <v>46</v>
      </c>
      <c r="B43" s="68" t="s">
        <v>9</v>
      </c>
      <c r="C43" s="50">
        <v>25</v>
      </c>
      <c r="D43" s="69">
        <v>32.25</v>
      </c>
      <c r="E43" s="62"/>
      <c r="F43"/>
      <c r="N43"/>
      <c r="O43"/>
      <c r="P43"/>
      <c r="Q43"/>
      <c r="R43"/>
      <c r="S43"/>
    </row>
    <row r="44" spans="1:19" ht="16.5" thickBot="1" x14ac:dyDescent="0.3">
      <c r="D44" s="70">
        <f>B24</f>
        <v>58.550784374463937</v>
      </c>
      <c r="F44"/>
      <c r="N44"/>
      <c r="O44"/>
      <c r="P44"/>
      <c r="Q44"/>
      <c r="R44"/>
      <c r="S44"/>
    </row>
    <row r="45" spans="1:19" x14ac:dyDescent="0.25">
      <c r="F45"/>
      <c r="N45"/>
      <c r="O45"/>
      <c r="P45"/>
      <c r="Q45"/>
      <c r="R45"/>
      <c r="S45"/>
    </row>
    <row r="46" spans="1:19" x14ac:dyDescent="0.25">
      <c r="F46"/>
      <c r="N46"/>
      <c r="O46"/>
      <c r="P46"/>
      <c r="Q46"/>
      <c r="R46"/>
      <c r="S46"/>
    </row>
    <row r="47" spans="1:19" x14ac:dyDescent="0.25">
      <c r="F47"/>
      <c r="N47"/>
      <c r="O47"/>
      <c r="P47"/>
      <c r="Q47"/>
      <c r="R47"/>
      <c r="S47"/>
    </row>
    <row r="48" spans="1:19" x14ac:dyDescent="0.25">
      <c r="F48"/>
      <c r="N48"/>
      <c r="O48"/>
      <c r="P48"/>
      <c r="Q48"/>
      <c r="R48"/>
      <c r="S48"/>
    </row>
    <row r="49" spans="6:19" x14ac:dyDescent="0.25">
      <c r="F49"/>
      <c r="N49"/>
      <c r="O49"/>
      <c r="P49"/>
      <c r="Q49"/>
      <c r="R49"/>
      <c r="S49"/>
    </row>
    <row r="50" spans="6:19" x14ac:dyDescent="0.25">
      <c r="F50"/>
      <c r="N50"/>
      <c r="O50"/>
      <c r="P50"/>
      <c r="Q50"/>
      <c r="R50"/>
      <c r="S50"/>
    </row>
    <row r="51" spans="6:19" x14ac:dyDescent="0.25">
      <c r="F51"/>
      <c r="N51"/>
      <c r="O51"/>
      <c r="P51"/>
      <c r="Q51"/>
      <c r="R51"/>
      <c r="S51"/>
    </row>
    <row r="52" spans="6:19" x14ac:dyDescent="0.25">
      <c r="F52"/>
      <c r="N52"/>
      <c r="O52"/>
      <c r="P52"/>
      <c r="Q52"/>
      <c r="R52"/>
      <c r="S52"/>
    </row>
    <row r="53" spans="6:19" x14ac:dyDescent="0.25">
      <c r="F53"/>
      <c r="N53"/>
      <c r="O53"/>
      <c r="P53"/>
      <c r="Q53"/>
      <c r="R53"/>
      <c r="S53"/>
    </row>
    <row r="54" spans="6:19" x14ac:dyDescent="0.25">
      <c r="F54"/>
      <c r="N54"/>
      <c r="O54"/>
      <c r="P54"/>
      <c r="Q54"/>
      <c r="R54"/>
      <c r="S54"/>
    </row>
    <row r="55" spans="6:19" x14ac:dyDescent="0.25">
      <c r="F55"/>
      <c r="N55"/>
      <c r="O55"/>
      <c r="P55"/>
      <c r="Q55"/>
      <c r="R55"/>
      <c r="S55"/>
    </row>
    <row r="56" spans="6:19" x14ac:dyDescent="0.25">
      <c r="F56"/>
      <c r="N56"/>
      <c r="O56"/>
      <c r="P56"/>
      <c r="Q56"/>
      <c r="R56"/>
      <c r="S56"/>
    </row>
    <row r="57" spans="6:19" x14ac:dyDescent="0.25">
      <c r="F57"/>
      <c r="N57"/>
      <c r="O57"/>
      <c r="P57"/>
      <c r="Q57"/>
      <c r="R57"/>
      <c r="S57"/>
    </row>
    <row r="58" spans="6:19" x14ac:dyDescent="0.25">
      <c r="F58"/>
      <c r="N58"/>
      <c r="O58"/>
      <c r="P58"/>
      <c r="Q58"/>
      <c r="R58"/>
      <c r="S58"/>
    </row>
    <row r="59" spans="6:19" x14ac:dyDescent="0.25">
      <c r="F59"/>
      <c r="N59"/>
      <c r="O59"/>
      <c r="P59"/>
      <c r="Q59"/>
      <c r="R59"/>
      <c r="S59"/>
    </row>
    <row r="60" spans="6:19" x14ac:dyDescent="0.25">
      <c r="F60"/>
      <c r="N60"/>
      <c r="O60"/>
      <c r="P60"/>
      <c r="Q60"/>
      <c r="R60"/>
      <c r="S60"/>
    </row>
    <row r="61" spans="6:19" x14ac:dyDescent="0.25">
      <c r="F61"/>
      <c r="N61"/>
      <c r="O61"/>
      <c r="P61"/>
      <c r="Q61"/>
      <c r="R61"/>
      <c r="S61"/>
    </row>
    <row r="62" spans="6:19" x14ac:dyDescent="0.25">
      <c r="F62"/>
      <c r="N62"/>
      <c r="O62"/>
      <c r="P62"/>
      <c r="Q62"/>
      <c r="R62"/>
      <c r="S62"/>
    </row>
    <row r="63" spans="6:19" x14ac:dyDescent="0.25">
      <c r="F63"/>
      <c r="N63"/>
      <c r="O63"/>
      <c r="P63"/>
      <c r="Q63"/>
      <c r="R63"/>
      <c r="S63"/>
    </row>
    <row r="64" spans="6:19" x14ac:dyDescent="0.25">
      <c r="F64"/>
      <c r="N64"/>
      <c r="O64"/>
      <c r="P64"/>
      <c r="Q64"/>
      <c r="R64"/>
      <c r="S64"/>
    </row>
    <row r="65" spans="6:19" x14ac:dyDescent="0.25">
      <c r="F65"/>
      <c r="N65"/>
      <c r="O65"/>
      <c r="P65"/>
      <c r="Q65"/>
      <c r="R65"/>
      <c r="S65"/>
    </row>
    <row r="66" spans="6:19" x14ac:dyDescent="0.25">
      <c r="F66"/>
      <c r="N66"/>
      <c r="O66"/>
      <c r="P66"/>
      <c r="Q66"/>
      <c r="R66"/>
      <c r="S66"/>
    </row>
    <row r="67" spans="6:19" x14ac:dyDescent="0.25">
      <c r="F67"/>
      <c r="N67"/>
      <c r="O67"/>
      <c r="P67"/>
      <c r="Q67"/>
      <c r="R67"/>
      <c r="S67"/>
    </row>
    <row r="68" spans="6:19" x14ac:dyDescent="0.25">
      <c r="F68"/>
      <c r="N68"/>
      <c r="O68"/>
      <c r="P68"/>
      <c r="Q68"/>
      <c r="R68"/>
      <c r="S68"/>
    </row>
    <row r="69" spans="6:19" x14ac:dyDescent="0.25">
      <c r="F69"/>
      <c r="G69"/>
      <c r="H69"/>
      <c r="I69"/>
      <c r="J69"/>
      <c r="K69"/>
      <c r="L69"/>
      <c r="M69"/>
      <c r="N69"/>
      <c r="O69"/>
      <c r="P69"/>
      <c r="Q69"/>
      <c r="R69"/>
      <c r="S69"/>
    </row>
    <row r="70" spans="6:19" x14ac:dyDescent="0.25">
      <c r="F70"/>
      <c r="G70"/>
      <c r="H70"/>
      <c r="I70"/>
      <c r="J70"/>
      <c r="K70"/>
      <c r="L70"/>
      <c r="M70"/>
      <c r="N70"/>
      <c r="O70"/>
      <c r="P70"/>
      <c r="Q70"/>
      <c r="R70"/>
      <c r="S70"/>
    </row>
    <row r="71" spans="6:19" x14ac:dyDescent="0.25">
      <c r="F71"/>
      <c r="G71"/>
      <c r="H71"/>
      <c r="I71"/>
      <c r="J71"/>
      <c r="K71"/>
      <c r="L71"/>
      <c r="M71"/>
      <c r="N71"/>
      <c r="O71"/>
      <c r="P71"/>
      <c r="Q71"/>
      <c r="R71"/>
      <c r="S71"/>
    </row>
    <row r="72" spans="6:19" x14ac:dyDescent="0.25">
      <c r="F72"/>
      <c r="G72"/>
      <c r="H72"/>
      <c r="I72"/>
      <c r="J72"/>
      <c r="K72"/>
      <c r="L72"/>
      <c r="M72"/>
      <c r="N72"/>
      <c r="O72"/>
      <c r="P72"/>
      <c r="Q72"/>
      <c r="R72"/>
      <c r="S72"/>
    </row>
    <row r="73" spans="6:19" x14ac:dyDescent="0.25">
      <c r="F73"/>
      <c r="G73"/>
      <c r="H73"/>
      <c r="I73"/>
      <c r="J73"/>
      <c r="K73"/>
      <c r="L73"/>
      <c r="M73"/>
      <c r="N73"/>
      <c r="O73"/>
      <c r="P73"/>
      <c r="Q73"/>
      <c r="R73"/>
      <c r="S73"/>
    </row>
    <row r="74" spans="6:19" x14ac:dyDescent="0.25">
      <c r="F74"/>
      <c r="G74"/>
      <c r="H74"/>
      <c r="I74"/>
      <c r="J74"/>
      <c r="K74"/>
      <c r="L74"/>
      <c r="M74"/>
      <c r="N74"/>
      <c r="O74"/>
      <c r="P74"/>
      <c r="Q74"/>
      <c r="R74"/>
      <c r="S74"/>
    </row>
    <row r="75" spans="6:19" x14ac:dyDescent="0.25">
      <c r="F75"/>
      <c r="G75"/>
      <c r="H75"/>
      <c r="I75"/>
      <c r="J75"/>
      <c r="K75"/>
      <c r="L75"/>
      <c r="M75"/>
      <c r="N75"/>
      <c r="O75"/>
      <c r="P75"/>
      <c r="Q75"/>
      <c r="R75"/>
      <c r="S75"/>
    </row>
    <row r="76" spans="6:19" x14ac:dyDescent="0.25">
      <c r="F76"/>
      <c r="G76"/>
      <c r="H76"/>
      <c r="I76"/>
      <c r="J76"/>
      <c r="K76"/>
      <c r="L76"/>
      <c r="M76"/>
      <c r="N76"/>
      <c r="O76"/>
      <c r="P76"/>
      <c r="Q76"/>
      <c r="R76"/>
      <c r="S76"/>
    </row>
    <row r="77" spans="6:19" x14ac:dyDescent="0.25">
      <c r="F77"/>
      <c r="G77"/>
      <c r="H77"/>
      <c r="I77"/>
      <c r="J77"/>
      <c r="K77"/>
      <c r="L77"/>
      <c r="M77"/>
      <c r="N77"/>
      <c r="O77"/>
      <c r="P77"/>
      <c r="Q77"/>
      <c r="R77"/>
      <c r="S77"/>
    </row>
    <row r="78" spans="6:19" x14ac:dyDescent="0.25">
      <c r="F78"/>
      <c r="G78"/>
      <c r="H78"/>
      <c r="I78"/>
      <c r="J78"/>
      <c r="K78"/>
      <c r="L78"/>
      <c r="M78"/>
      <c r="N78"/>
      <c r="O78"/>
      <c r="P78"/>
      <c r="Q78"/>
      <c r="R78"/>
      <c r="S78"/>
    </row>
    <row r="79" spans="6:19" x14ac:dyDescent="0.25">
      <c r="F79"/>
      <c r="G79"/>
      <c r="H79"/>
      <c r="I79"/>
      <c r="J79"/>
      <c r="K79"/>
      <c r="L79"/>
      <c r="M79"/>
      <c r="N79"/>
      <c r="O79"/>
      <c r="P79"/>
      <c r="Q79"/>
      <c r="R79"/>
      <c r="S79"/>
    </row>
    <row r="80" spans="6:19" x14ac:dyDescent="0.25">
      <c r="F80"/>
      <c r="G80"/>
      <c r="H80"/>
      <c r="I80"/>
      <c r="J80"/>
      <c r="K80"/>
      <c r="L80"/>
      <c r="M80"/>
      <c r="N80"/>
      <c r="O80"/>
      <c r="P80"/>
      <c r="Q80"/>
      <c r="R80"/>
      <c r="S80"/>
    </row>
    <row r="81" spans="6:19" x14ac:dyDescent="0.25">
      <c r="F81"/>
      <c r="G81"/>
      <c r="H81"/>
      <c r="I81"/>
      <c r="J81"/>
      <c r="K81"/>
      <c r="L81"/>
      <c r="M81"/>
      <c r="N81"/>
      <c r="O81"/>
      <c r="P81"/>
      <c r="Q81"/>
      <c r="R81"/>
      <c r="S81"/>
    </row>
    <row r="82" spans="6:19" x14ac:dyDescent="0.25">
      <c r="F82"/>
      <c r="G82"/>
      <c r="H82"/>
      <c r="I82"/>
      <c r="J82"/>
      <c r="K82"/>
      <c r="L82"/>
      <c r="M82"/>
      <c r="N82"/>
      <c r="O82"/>
      <c r="P82"/>
      <c r="Q82"/>
      <c r="R82"/>
      <c r="S82"/>
    </row>
    <row r="83" spans="6:19" x14ac:dyDescent="0.25">
      <c r="F83"/>
      <c r="G83"/>
      <c r="H83"/>
      <c r="I83"/>
      <c r="J83"/>
      <c r="K83"/>
      <c r="L83"/>
      <c r="M83"/>
      <c r="N83"/>
      <c r="O83"/>
      <c r="P83"/>
      <c r="Q83"/>
      <c r="R83"/>
      <c r="S83"/>
    </row>
    <row r="84" spans="6:19" x14ac:dyDescent="0.25">
      <c r="F84"/>
      <c r="G84"/>
      <c r="H84"/>
      <c r="I84"/>
      <c r="J84"/>
      <c r="K84"/>
      <c r="L84"/>
      <c r="M84"/>
      <c r="N84"/>
      <c r="O84"/>
      <c r="P84"/>
      <c r="Q84"/>
      <c r="R84"/>
      <c r="S84"/>
    </row>
    <row r="85" spans="6:19" x14ac:dyDescent="0.25">
      <c r="F85"/>
      <c r="G85"/>
      <c r="H85"/>
      <c r="I85"/>
      <c r="J85"/>
      <c r="K85"/>
      <c r="L85"/>
      <c r="M85"/>
      <c r="N85"/>
      <c r="O85"/>
      <c r="P85"/>
      <c r="Q85"/>
      <c r="R85"/>
      <c r="S85"/>
    </row>
    <row r="86" spans="6:19" x14ac:dyDescent="0.25">
      <c r="F86"/>
      <c r="G86"/>
      <c r="H86"/>
      <c r="I86"/>
      <c r="J86"/>
      <c r="K86"/>
      <c r="L86"/>
      <c r="M86"/>
      <c r="N86"/>
      <c r="O86"/>
      <c r="P86"/>
      <c r="Q86"/>
      <c r="R86"/>
      <c r="S86"/>
    </row>
    <row r="87" spans="6:19" x14ac:dyDescent="0.25">
      <c r="F87"/>
      <c r="G87"/>
      <c r="H87"/>
      <c r="I87"/>
      <c r="J87"/>
      <c r="K87"/>
      <c r="L87"/>
      <c r="M87"/>
      <c r="N87"/>
      <c r="O87"/>
      <c r="P87"/>
      <c r="Q87"/>
      <c r="R87"/>
      <c r="S87"/>
    </row>
    <row r="88" spans="6:19" x14ac:dyDescent="0.25">
      <c r="F88"/>
      <c r="G88"/>
      <c r="H88"/>
      <c r="I88"/>
      <c r="J88"/>
      <c r="K88"/>
      <c r="L88"/>
      <c r="M88"/>
      <c r="N88"/>
      <c r="O88"/>
      <c r="P88"/>
      <c r="Q88"/>
      <c r="R88"/>
      <c r="S88"/>
    </row>
    <row r="89" spans="6:19" x14ac:dyDescent="0.25">
      <c r="F89"/>
      <c r="G89"/>
      <c r="H89"/>
      <c r="I89"/>
      <c r="J89"/>
      <c r="K89"/>
      <c r="L89"/>
      <c r="M89"/>
      <c r="N89"/>
      <c r="O89"/>
      <c r="P89"/>
      <c r="Q89"/>
      <c r="R89"/>
      <c r="S89"/>
    </row>
    <row r="90" spans="6:19" x14ac:dyDescent="0.25">
      <c r="F90"/>
      <c r="G90"/>
      <c r="H90"/>
      <c r="I90"/>
      <c r="J90"/>
      <c r="K90"/>
      <c r="L90"/>
      <c r="M90"/>
      <c r="N90"/>
      <c r="O90"/>
      <c r="P90"/>
      <c r="Q90"/>
      <c r="R90"/>
      <c r="S90"/>
    </row>
    <row r="91" spans="6:19" x14ac:dyDescent="0.25">
      <c r="F91"/>
      <c r="G91"/>
      <c r="H91"/>
      <c r="I91"/>
      <c r="J91"/>
      <c r="K91"/>
      <c r="L91"/>
      <c r="M91"/>
      <c r="N91"/>
      <c r="O91"/>
      <c r="P91"/>
      <c r="Q91"/>
      <c r="R91"/>
      <c r="S91"/>
    </row>
    <row r="92" spans="6:19" x14ac:dyDescent="0.25">
      <c r="F92"/>
      <c r="G92"/>
      <c r="H92"/>
      <c r="I92"/>
      <c r="J92"/>
      <c r="K92"/>
      <c r="L92"/>
      <c r="M92"/>
      <c r="N92"/>
      <c r="O92"/>
      <c r="P92"/>
      <c r="Q92"/>
      <c r="R92"/>
      <c r="S92"/>
    </row>
    <row r="93" spans="6:19" x14ac:dyDescent="0.25">
      <c r="F93"/>
      <c r="G93"/>
      <c r="H93"/>
      <c r="I93"/>
      <c r="J93"/>
      <c r="K93"/>
      <c r="L93"/>
      <c r="M93"/>
      <c r="N93"/>
      <c r="O93"/>
      <c r="P93"/>
      <c r="Q93"/>
      <c r="R93"/>
      <c r="S93"/>
    </row>
    <row r="94" spans="6:19" x14ac:dyDescent="0.25">
      <c r="F94"/>
      <c r="G94"/>
      <c r="H94"/>
      <c r="I94"/>
      <c r="J94"/>
      <c r="K94"/>
      <c r="L94"/>
      <c r="M94"/>
      <c r="N94"/>
      <c r="O94"/>
      <c r="P94"/>
      <c r="Q94"/>
      <c r="R94"/>
      <c r="S94"/>
    </row>
    <row r="95" spans="6:19" x14ac:dyDescent="0.25">
      <c r="F95"/>
      <c r="G95"/>
      <c r="H95"/>
      <c r="I95"/>
      <c r="J95"/>
      <c r="K95"/>
      <c r="L95"/>
      <c r="M95"/>
      <c r="N95"/>
      <c r="O95"/>
      <c r="P95"/>
      <c r="Q95"/>
      <c r="R95"/>
      <c r="S95"/>
    </row>
    <row r="96" spans="6:19" x14ac:dyDescent="0.25">
      <c r="F96"/>
      <c r="G96"/>
      <c r="H96"/>
      <c r="I96"/>
      <c r="J96"/>
      <c r="K96"/>
      <c r="L96"/>
      <c r="M96"/>
      <c r="N96"/>
      <c r="O96"/>
      <c r="P96"/>
      <c r="Q96"/>
      <c r="R96"/>
      <c r="S96"/>
    </row>
    <row r="97" spans="6:19" x14ac:dyDescent="0.25">
      <c r="F97"/>
      <c r="G97"/>
      <c r="H97"/>
      <c r="I97"/>
      <c r="J97"/>
      <c r="K97"/>
      <c r="L97"/>
      <c r="M97"/>
      <c r="N97"/>
      <c r="O97"/>
      <c r="P97"/>
      <c r="Q97"/>
      <c r="R97"/>
      <c r="S97"/>
    </row>
    <row r="98" spans="6:19" x14ac:dyDescent="0.25">
      <c r="F98"/>
      <c r="G98"/>
      <c r="H98"/>
      <c r="I98"/>
      <c r="J98"/>
      <c r="K98"/>
      <c r="L98"/>
      <c r="M98"/>
      <c r="N98"/>
      <c r="O98"/>
      <c r="P98"/>
      <c r="Q98"/>
      <c r="R98"/>
      <c r="S98"/>
    </row>
    <row r="99" spans="6:19" x14ac:dyDescent="0.25">
      <c r="F99"/>
      <c r="G99"/>
      <c r="H99"/>
      <c r="I99"/>
      <c r="J99"/>
      <c r="K99"/>
      <c r="L99"/>
      <c r="M99"/>
      <c r="N99"/>
      <c r="O99"/>
      <c r="P99"/>
      <c r="Q99"/>
      <c r="R99"/>
      <c r="S99"/>
    </row>
    <row r="100" spans="6:19" x14ac:dyDescent="0.25"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</row>
    <row r="101" spans="6:19" x14ac:dyDescent="0.25"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</row>
    <row r="102" spans="6:19" x14ac:dyDescent="0.25"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</row>
    <row r="103" spans="6:19" x14ac:dyDescent="0.25"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</row>
    <row r="104" spans="6:19" x14ac:dyDescent="0.25"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</row>
    <row r="105" spans="6:19" x14ac:dyDescent="0.25"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</row>
    <row r="106" spans="6:19" x14ac:dyDescent="0.25"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</row>
    <row r="107" spans="6:19" x14ac:dyDescent="0.25"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</row>
    <row r="108" spans="6:19" x14ac:dyDescent="0.25"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</row>
    <row r="109" spans="6:19" x14ac:dyDescent="0.25"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</row>
    <row r="110" spans="6:19" x14ac:dyDescent="0.25"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</row>
    <row r="111" spans="6:19" x14ac:dyDescent="0.25"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</row>
    <row r="112" spans="6:19" x14ac:dyDescent="0.25"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</row>
    <row r="113" spans="6:19" x14ac:dyDescent="0.25"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</row>
    <row r="114" spans="6:19" x14ac:dyDescent="0.25"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</row>
    <row r="115" spans="6:19" x14ac:dyDescent="0.25"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</row>
    <row r="116" spans="6:19" x14ac:dyDescent="0.25"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</row>
    <row r="117" spans="6:19" x14ac:dyDescent="0.25"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</row>
    <row r="118" spans="6:19" x14ac:dyDescent="0.25"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</row>
    <row r="119" spans="6:19" x14ac:dyDescent="0.25"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</row>
    <row r="120" spans="6:19" x14ac:dyDescent="0.25"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</row>
    <row r="121" spans="6:19" x14ac:dyDescent="0.25"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</row>
    <row r="122" spans="6:19" x14ac:dyDescent="0.25"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</row>
    <row r="123" spans="6:19" x14ac:dyDescent="0.25"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</row>
    <row r="124" spans="6:19" x14ac:dyDescent="0.25"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</row>
    <row r="125" spans="6:19" x14ac:dyDescent="0.25"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</row>
    <row r="126" spans="6:19" x14ac:dyDescent="0.25"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</row>
    <row r="127" spans="6:19" x14ac:dyDescent="0.25"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</row>
    <row r="128" spans="6:19" x14ac:dyDescent="0.25"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</row>
    <row r="129" spans="6:19" x14ac:dyDescent="0.25"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</row>
    <row r="130" spans="6:19" x14ac:dyDescent="0.25"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</row>
    <row r="131" spans="6:19" x14ac:dyDescent="0.25"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</row>
    <row r="132" spans="6:19" x14ac:dyDescent="0.25"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</row>
    <row r="133" spans="6:19" x14ac:dyDescent="0.25"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</row>
    <row r="134" spans="6:19" x14ac:dyDescent="0.25"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</row>
    <row r="135" spans="6:19" x14ac:dyDescent="0.25"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</row>
    <row r="136" spans="6:19" x14ac:dyDescent="0.25"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</row>
    <row r="137" spans="6:19" x14ac:dyDescent="0.25"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</row>
    <row r="138" spans="6:19" x14ac:dyDescent="0.25"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</row>
    <row r="139" spans="6:19" x14ac:dyDescent="0.25"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</row>
    <row r="140" spans="6:19" x14ac:dyDescent="0.25"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</row>
    <row r="141" spans="6:19" x14ac:dyDescent="0.25"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</row>
    <row r="142" spans="6:19" x14ac:dyDescent="0.25"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</row>
    <row r="143" spans="6:19" x14ac:dyDescent="0.25"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</row>
    <row r="144" spans="6:19" x14ac:dyDescent="0.25"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</row>
    <row r="145" spans="6:19" x14ac:dyDescent="0.25"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</row>
    <row r="146" spans="6:19" x14ac:dyDescent="0.25"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</row>
    <row r="147" spans="6:19" x14ac:dyDescent="0.25"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</row>
    <row r="148" spans="6:19" x14ac:dyDescent="0.25"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</row>
    <row r="149" spans="6:19" x14ac:dyDescent="0.25"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</row>
    <row r="150" spans="6:19" x14ac:dyDescent="0.25"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</row>
    <row r="151" spans="6:19" x14ac:dyDescent="0.25"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</row>
    <row r="152" spans="6:19" x14ac:dyDescent="0.25"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</row>
    <row r="153" spans="6:19" x14ac:dyDescent="0.25"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</row>
    <row r="154" spans="6:19" x14ac:dyDescent="0.25"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</row>
    <row r="155" spans="6:19" x14ac:dyDescent="0.25"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</row>
    <row r="156" spans="6:19" x14ac:dyDescent="0.25"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</row>
    <row r="157" spans="6:19" x14ac:dyDescent="0.25"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</row>
    <row r="158" spans="6:19" x14ac:dyDescent="0.25"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</row>
    <row r="159" spans="6:19" x14ac:dyDescent="0.25"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</row>
    <row r="160" spans="6:19" x14ac:dyDescent="0.25"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</row>
    <row r="161" spans="6:19" x14ac:dyDescent="0.25"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</row>
    <row r="162" spans="6:19" x14ac:dyDescent="0.25"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</row>
    <row r="163" spans="6:19" x14ac:dyDescent="0.25"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</row>
    <row r="164" spans="6:19" x14ac:dyDescent="0.25"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</row>
    <row r="165" spans="6:19" x14ac:dyDescent="0.25"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</row>
    <row r="166" spans="6:19" x14ac:dyDescent="0.25"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</row>
    <row r="167" spans="6:19" x14ac:dyDescent="0.25"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</row>
    <row r="168" spans="6:19" x14ac:dyDescent="0.25"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</row>
    <row r="169" spans="6:19" x14ac:dyDescent="0.25"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</row>
    <row r="170" spans="6:19" x14ac:dyDescent="0.25"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</row>
    <row r="171" spans="6:19" x14ac:dyDescent="0.25"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</row>
    <row r="172" spans="6:19" x14ac:dyDescent="0.25"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</row>
    <row r="173" spans="6:19" x14ac:dyDescent="0.25"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</row>
    <row r="174" spans="6:19" x14ac:dyDescent="0.25"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</row>
    <row r="175" spans="6:19" x14ac:dyDescent="0.25"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</row>
    <row r="176" spans="6:19" x14ac:dyDescent="0.25"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</row>
    <row r="177" spans="6:19" x14ac:dyDescent="0.25"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</row>
    <row r="178" spans="6:19" x14ac:dyDescent="0.25"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</row>
    <row r="179" spans="6:19" x14ac:dyDescent="0.25"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</row>
    <row r="180" spans="6:19" x14ac:dyDescent="0.25"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</row>
    <row r="181" spans="6:19" x14ac:dyDescent="0.25"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</row>
    <row r="182" spans="6:19" x14ac:dyDescent="0.25"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</row>
    <row r="183" spans="6:19" x14ac:dyDescent="0.25"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</row>
    <row r="184" spans="6:19" x14ac:dyDescent="0.25"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</row>
    <row r="185" spans="6:19" x14ac:dyDescent="0.25"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</row>
    <row r="186" spans="6:19" x14ac:dyDescent="0.25"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</row>
    <row r="187" spans="6:19" x14ac:dyDescent="0.25"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</row>
    <row r="188" spans="6:19" x14ac:dyDescent="0.25"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</row>
    <row r="189" spans="6:19" x14ac:dyDescent="0.25"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</row>
    <row r="190" spans="6:19" x14ac:dyDescent="0.25"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</row>
    <row r="191" spans="6:19" x14ac:dyDescent="0.25"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</row>
    <row r="192" spans="6:19" x14ac:dyDescent="0.25"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</row>
    <row r="193" spans="6:19" x14ac:dyDescent="0.25"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</row>
    <row r="194" spans="6:19" x14ac:dyDescent="0.25"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</row>
    <row r="195" spans="6:19" x14ac:dyDescent="0.25"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</row>
    <row r="196" spans="6:19" x14ac:dyDescent="0.25"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</row>
    <row r="197" spans="6:19" x14ac:dyDescent="0.25"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</row>
    <row r="198" spans="6:19" x14ac:dyDescent="0.25"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</row>
    <row r="199" spans="6:19" x14ac:dyDescent="0.25"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</row>
    <row r="200" spans="6:19" x14ac:dyDescent="0.25"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</row>
    <row r="201" spans="6:19" x14ac:dyDescent="0.25"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</row>
    <row r="202" spans="6:19" x14ac:dyDescent="0.25"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</row>
    <row r="203" spans="6:19" x14ac:dyDescent="0.25"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</row>
    <row r="204" spans="6:19" x14ac:dyDescent="0.25"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</row>
    <row r="205" spans="6:19" x14ac:dyDescent="0.25"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</row>
    <row r="206" spans="6:19" x14ac:dyDescent="0.25"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</row>
    <row r="207" spans="6:19" x14ac:dyDescent="0.25"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</row>
    <row r="208" spans="6:19" x14ac:dyDescent="0.25"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</row>
    <row r="209" spans="6:19" x14ac:dyDescent="0.25"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</row>
    <row r="210" spans="6:19" x14ac:dyDescent="0.25"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</row>
    <row r="211" spans="6:19" x14ac:dyDescent="0.25"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</row>
    <row r="212" spans="6:19" x14ac:dyDescent="0.25"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</row>
    <row r="213" spans="6:19" x14ac:dyDescent="0.25"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</row>
    <row r="214" spans="6:19" x14ac:dyDescent="0.25"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</row>
    <row r="215" spans="6:19" x14ac:dyDescent="0.25"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</row>
    <row r="216" spans="6:19" x14ac:dyDescent="0.25"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</row>
    <row r="217" spans="6:19" x14ac:dyDescent="0.25"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</row>
    <row r="218" spans="6:19" x14ac:dyDescent="0.25"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</row>
    <row r="219" spans="6:19" x14ac:dyDescent="0.25"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</row>
    <row r="220" spans="6:19" x14ac:dyDescent="0.25"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</row>
    <row r="221" spans="6:19" x14ac:dyDescent="0.25"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</row>
    <row r="222" spans="6:19" x14ac:dyDescent="0.25"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</row>
    <row r="223" spans="6:19" x14ac:dyDescent="0.25"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</row>
    <row r="224" spans="6:19" x14ac:dyDescent="0.25"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</row>
    <row r="225" spans="6:19" x14ac:dyDescent="0.25"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</row>
    <row r="226" spans="6:19" x14ac:dyDescent="0.25"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</row>
    <row r="227" spans="6:19" x14ac:dyDescent="0.25"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</row>
    <row r="228" spans="6:19" x14ac:dyDescent="0.25"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</row>
    <row r="229" spans="6:19" x14ac:dyDescent="0.25"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</row>
    <row r="230" spans="6:19" x14ac:dyDescent="0.25"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</row>
  </sheetData>
  <mergeCells count="11">
    <mergeCell ref="G22:I22"/>
    <mergeCell ref="A23:D23"/>
    <mergeCell ref="H23:I23"/>
    <mergeCell ref="A26:D26"/>
    <mergeCell ref="A33:D33"/>
    <mergeCell ref="H17:I17"/>
    <mergeCell ref="A1:D1"/>
    <mergeCell ref="G9:I9"/>
    <mergeCell ref="G10:I10"/>
    <mergeCell ref="H11:I11"/>
    <mergeCell ref="G16:I1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92bcae-bd4d-4cc8-a741-17d9b9061a91" xsi:nil="true"/>
    <lcf76f155ced4ddcb4097134ff3c332f xmlns="1c3d7bfa-1420-451e-b11b-912cce695b9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121F3DEF67B848ACE6D10A24BC34A0" ma:contentTypeVersion="15" ma:contentTypeDescription="Create a new document." ma:contentTypeScope="" ma:versionID="08d701f4c1650833ad4a83da1d69b2e7">
  <xsd:schema xmlns:xsd="http://www.w3.org/2001/XMLSchema" xmlns:xs="http://www.w3.org/2001/XMLSchema" xmlns:p="http://schemas.microsoft.com/office/2006/metadata/properties" xmlns:ns2="1c3d7bfa-1420-451e-b11b-912cce695b94" xmlns:ns3="5d92bcae-bd4d-4cc8-a741-17d9b9061a91" targetNamespace="http://schemas.microsoft.com/office/2006/metadata/properties" ma:root="true" ma:fieldsID="aaa64bb791f82497f5093ba80c986992" ns2:_="" ns3:_="">
    <xsd:import namespace="1c3d7bfa-1420-451e-b11b-912cce695b94"/>
    <xsd:import namespace="5d92bcae-bd4d-4cc8-a741-17d9b9061a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3d7bfa-1420-451e-b11b-912cce695b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8679018-c8b5-43e9-adcd-8cca0014b2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92bcae-bd4d-4cc8-a741-17d9b9061a9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78bcecca-c718-4da7-baff-cd2b4f92384f}" ma:internalName="TaxCatchAll" ma:showField="CatchAllData" ma:web="5d92bcae-bd4d-4cc8-a741-17d9b9061a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4FB15D1-FA7C-4CDD-A2EA-B642FBB6E73C}">
  <ds:schemaRefs>
    <ds:schemaRef ds:uri="http://schemas.microsoft.com/office/2006/metadata/properties"/>
    <ds:schemaRef ds:uri="http://schemas.microsoft.com/office/infopath/2007/PartnerControls"/>
    <ds:schemaRef ds:uri="5d92bcae-bd4d-4cc8-a741-17d9b9061a91"/>
    <ds:schemaRef ds:uri="1c3d7bfa-1420-451e-b11b-912cce695b94"/>
  </ds:schemaRefs>
</ds:datastoreItem>
</file>

<file path=customXml/itemProps2.xml><?xml version="1.0" encoding="utf-8"?>
<ds:datastoreItem xmlns:ds="http://schemas.openxmlformats.org/officeDocument/2006/customXml" ds:itemID="{B0DA9E76-E39C-4BD5-B402-DE0DB66832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3d7bfa-1420-451e-b11b-912cce695b94"/>
    <ds:schemaRef ds:uri="5d92bcae-bd4d-4cc8-a741-17d9b9061a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B2AA89E-EC58-4D8B-9DCA-E5BB936B06F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Assignment 12.1-Student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DGenao</dc:creator>
  <cp:keywords/>
  <dc:description/>
  <cp:lastModifiedBy>Grace McLaughry</cp:lastModifiedBy>
  <cp:revision/>
  <dcterms:created xsi:type="dcterms:W3CDTF">2022-08-14T17:05:38Z</dcterms:created>
  <dcterms:modified xsi:type="dcterms:W3CDTF">2026-01-10T21:09:59Z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0x01010069121F3DEF67B848ACE6D10A24BC34A0</vt:lpwstr>
  </property>
</Properties>
</file>